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dialogsheets/sheet1.xml" ContentType="application/vnd.openxmlformats-officedocument.spreadsheetml.dialog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9.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10.xml" ContentType="application/vnd.openxmlformats-officedocument.drawingml.chart+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628" codeName="{4D1C537B-E38A-612A-F078-A93A15B4B7F4}"/>
  <workbookPr codeName="ThisWorkbook" hidePivotFieldList="1" defaultThemeVersion="124226"/>
  <mc:AlternateContent xmlns:mc="http://schemas.openxmlformats.org/markup-compatibility/2006">
    <mc:Choice Requires="x15">
      <x15ac:absPath xmlns:x15ac="http://schemas.microsoft.com/office/spreadsheetml/2010/11/ac" url="C:\Users\praf_\Desktop\"/>
    </mc:Choice>
  </mc:AlternateContent>
  <xr:revisionPtr revIDLastSave="0" documentId="13_ncr:1_{6720FED6-8B52-47D1-B68F-B2B5838F39DA}" xr6:coauthVersionLast="46" xr6:coauthVersionMax="46" xr10:uidLastSave="{00000000-0000-0000-0000-000000000000}"/>
  <bookViews>
    <workbookView xWindow="0" yWindow="426" windowWidth="17105" windowHeight="9191" tabRatio="608" firstSheet="1" activeTab="1" xr2:uid="{00000000-000D-0000-FFFF-FFFF00000000}"/>
  </bookViews>
  <sheets>
    <sheet name="dlginstruct" sheetId="1" state="hidden" r:id="rId1"/>
    <sheet name="notes" sheetId="10" r:id="rId2"/>
    <sheet name="Girder Property" sheetId="3" r:id="rId3"/>
    <sheet name="wheel" sheetId="8" r:id="rId4"/>
    <sheet name="Ptrestress loss" sheetId="6" state="hidden" r:id="rId5"/>
    <sheet name="Desig of slab" sheetId="14" r:id="rId6"/>
    <sheet name="Design Girder" sheetId="9" r:id="rId7"/>
    <sheet name="End Block" sheetId="7" r:id="rId8"/>
    <sheet name="BM" sheetId="5" r:id="rId9"/>
    <sheet name="Cable" sheetId="4" r:id="rId10"/>
    <sheet name="Sheet2" sheetId="11" r:id="rId11"/>
    <sheet name="expansion joint" sheetId="13" r:id="rId12"/>
  </sheets>
  <functionGroups builtInGroupCount="19"/>
  <externalReferences>
    <externalReference r:id="rId13"/>
  </externalReferences>
  <definedNames>
    <definedName name="ac">'Girder Property'!$E$485</definedName>
    <definedName name="aeg">'Girder Property'!$I$175</definedName>
    <definedName name="Ag">'Girder Property'!$E$433</definedName>
    <definedName name="alfp">'Girder Property'!$I$46</definedName>
    <definedName name="Aps">'Girder Property'!$I$48</definedName>
    <definedName name="Asc">'Girder Property'!$I$48</definedName>
    <definedName name="bbf">'Girder Property'!$I$96</definedName>
    <definedName name="BM">'Girder Property'!$D$264:$I$268</definedName>
    <definedName name="btf">'Girder Property'!$I$95</definedName>
    <definedName name="bw">'Girder Property'!$I$97</definedName>
    <definedName name="Cable">Cable!$A$13:$R$16</definedName>
    <definedName name="cge">'Girder Property'!$I$177</definedName>
    <definedName name="co">'Girder Property'!$I$19</definedName>
    <definedName name="cr">'Girder Property'!$I$30</definedName>
    <definedName name="D">'Girder Property'!$I$98</definedName>
    <definedName name="ds">'Girder Property'!$I$99</definedName>
    <definedName name="ductdia">'Girder Property'!$I$37</definedName>
    <definedName name="dwt">'Girder Property'!$I$225</definedName>
    <definedName name="Ec">'Girder Property'!$I$24</definedName>
    <definedName name="Efprestress">'Design Girder'!$B$47:$H$59</definedName>
    <definedName name="Eps">'Girder Property'!$I$47</definedName>
    <definedName name="erwr">IF(Unt="SI","Mpa","ksi")</definedName>
    <definedName name="esh">'Girder Property'!$I$31</definedName>
    <definedName name="fck">'Girder Property'!$I$22</definedName>
    <definedName name="fcp">'Design Girder'!$D$93:$M$98</definedName>
    <definedName name="first">Cable!$A$20:$R$24</definedName>
    <definedName name="fp">'Girder Property'!$I$44</definedName>
    <definedName name="ft">'Design Girder'!$F$201</definedName>
    <definedName name="fy">'Girder Property'!$I$52</definedName>
    <definedName name="fyv">'Girder Property'!$I$53</definedName>
    <definedName name="gd">'Girder Property'!$I$16</definedName>
    <definedName name="girder">BM!$A$5:$M$9</definedName>
    <definedName name="gpsc">'Girder Property'!$I$17</definedName>
    <definedName name="ic">'Girder Property'!$H$485</definedName>
    <definedName name="ig">'Girder Property'!$H$433</definedName>
    <definedName name="ige">'Girder Property'!$I$178</definedName>
    <definedName name="K">'Design Girder'!$E$14</definedName>
    <definedName name="loadstress">'Design Girder'!$B$3:$M$8</definedName>
    <definedName name="ms">'Girder Property'!$I$27</definedName>
    <definedName name="mu">'Design Girder'!$E$15</definedName>
    <definedName name="no">'Girder Property'!$I$313</definedName>
    <definedName name="Ph">'Design Girder'!$C$33:$H$37</definedName>
    <definedName name="Pj">'Girder Property'!$I$49</definedName>
    <definedName name="_xlnm.Print_Area" localSheetId="8">BM!$A$1:$M$49</definedName>
    <definedName name="_xlnm.Print_Area" localSheetId="9">Cable!$A$18:$S$24</definedName>
    <definedName name="_xlnm.Print_Area" localSheetId="6">'Design Girder'!$A$1:$N$309</definedName>
    <definedName name="_xlnm.Print_Area" localSheetId="7">'End Block'!$A$2:$F$48</definedName>
    <definedName name="_xlnm.Print_Area" localSheetId="11">'expansion joint'!$A$1:$J$33</definedName>
    <definedName name="_xlnm.Print_Area" localSheetId="2">'Girder Property'!$C$1:$J$487</definedName>
    <definedName name="_xlnm.Print_Area" localSheetId="4">'Ptrestress loss'!$A$1:$F$140</definedName>
    <definedName name="_xlnm.Print_Area" localSheetId="3">wheel!$A$1:$I$105</definedName>
    <definedName name="Pv">'Design Girder'!$C$40:$H$44</definedName>
    <definedName name="radian">Cable!$A$28:$R$31</definedName>
    <definedName name="Re">'Girder Property'!$I$32</definedName>
    <definedName name="s">'Girder Property'!$I$13</definedName>
    <definedName name="scg">'Girder Property'!$I$15</definedName>
    <definedName name="second">Cable!#REF!</definedName>
    <definedName name="seconf">Cable!$A$20:$R$24</definedName>
    <definedName name="shear">'Girder Property'!$D$271:$I$276</definedName>
    <definedName name="shearein">'Design Girder'!$B$247:$H$257</definedName>
    <definedName name="sidl">BM!$A$25:$M$29</definedName>
    <definedName name="slab">BM!$A$15:$M$19</definedName>
    <definedName name="slip">'Design Girder'!$E$22</definedName>
    <definedName name="span">'[1]revised load'!$C$3</definedName>
    <definedName name="spane">'Girder Property'!$I$7</definedName>
    <definedName name="t">'Girder Property'!$I$38</definedName>
    <definedName name="tspan">'Girder Property'!$I$8</definedName>
    <definedName name="UnitLength_large">IF(Unt="SI","m","ft")</definedName>
    <definedName name="UnitLength_small">IF(Unt="SI","mm","in")</definedName>
    <definedName name="UnitStress">IF(Unt="SI","Mpa","ksi")</definedName>
    <definedName name="Unt">Cable!$J$8</definedName>
    <definedName name="vehicle">BM!$A$35:$M$39</definedName>
    <definedName name="wearing_coat">'Girder Property'!$I$89</definedName>
    <definedName name="ygb">'Girder Property'!$I$435</definedName>
    <definedName name="zbc">'Girder Property'!$I$489</definedName>
    <definedName name="zbe">'Girder Property'!$I$183</definedName>
    <definedName name="zcb">'Girder Property'!$I$489</definedName>
    <definedName name="zcbe">'Girder Property'!$I$403</definedName>
    <definedName name="zct">'Girder Property'!$I$490</definedName>
    <definedName name="zcte">'Girder Property'!$I$404</definedName>
    <definedName name="zgb">'Girder Property'!$I$437</definedName>
    <definedName name="zgt">'Girder Property'!$I$438</definedName>
    <definedName name="ztc">'Girder Property'!$I$490</definedName>
    <definedName name="zte">'Girder Property'!$I$184</definedName>
    <definedName name="μ">Cable!#REF!</definedName>
  </definedNames>
  <calcPr calcId="181029"/>
</workbook>
</file>

<file path=xl/calcChain.xml><?xml version="1.0" encoding="utf-8"?>
<calcChain xmlns="http://schemas.openxmlformats.org/spreadsheetml/2006/main">
  <c r="D384" i="9" l="1"/>
  <c r="D385" i="9" s="1"/>
  <c r="D390" i="9"/>
  <c r="D391" i="9" s="1"/>
  <c r="I23" i="3" l="1"/>
  <c r="E279" i="9"/>
  <c r="F279" i="9"/>
  <c r="G279" i="9"/>
  <c r="H279" i="9"/>
  <c r="D279" i="9"/>
  <c r="E267" i="9"/>
  <c r="F267" i="9"/>
  <c r="G267" i="9"/>
  <c r="H267" i="9"/>
  <c r="D267" i="9"/>
  <c r="F267" i="3"/>
  <c r="G267" i="3"/>
  <c r="H267" i="3"/>
  <c r="F268" i="3"/>
  <c r="G268" i="3"/>
  <c r="H268" i="3"/>
  <c r="E268" i="3"/>
  <c r="E267" i="3"/>
  <c r="J29" i="5"/>
  <c r="K29" i="5"/>
  <c r="L29" i="5"/>
  <c r="M29" i="5"/>
  <c r="I72" i="3"/>
  <c r="I91" i="3"/>
  <c r="J39" i="5"/>
  <c r="K39" i="5"/>
  <c r="L39" i="5"/>
  <c r="M39" i="5"/>
  <c r="T13" i="5" l="1"/>
  <c r="I12" i="3"/>
  <c r="G402" i="9" l="1"/>
  <c r="G394" i="9"/>
  <c r="G396" i="9" s="1"/>
  <c r="F22" i="14"/>
  <c r="F14" i="14"/>
  <c r="F43" i="14"/>
  <c r="F41" i="14"/>
  <c r="E5" i="14"/>
  <c r="G3" i="14" s="1"/>
  <c r="G4" i="14" s="1"/>
  <c r="E3" i="14"/>
  <c r="F31" i="14"/>
  <c r="F29" i="14"/>
  <c r="F20" i="14"/>
  <c r="F12" i="14"/>
  <c r="F42" i="14" l="1"/>
  <c r="F45" i="14" s="1"/>
  <c r="F46" i="14" s="1"/>
  <c r="F15" i="14"/>
  <c r="F17" i="14" s="1"/>
  <c r="F18" i="14" s="1"/>
  <c r="F23" i="14"/>
  <c r="F25" i="14" s="1"/>
  <c r="F26" i="14" s="1"/>
  <c r="F32" i="14"/>
  <c r="F34" i="14" s="1"/>
  <c r="F35" i="14" s="1"/>
  <c r="G5" i="14"/>
  <c r="F21" i="14" l="1"/>
  <c r="H22" i="14" s="1"/>
  <c r="F13" i="14"/>
  <c r="H14" i="14" s="1"/>
  <c r="F30" i="14"/>
  <c r="H31" i="14" s="1"/>
  <c r="I3" i="14" l="1"/>
  <c r="C4" i="14"/>
  <c r="I4" i="14"/>
  <c r="C3" i="14"/>
  <c r="G24" i="8"/>
  <c r="G54" i="8"/>
  <c r="D54" i="8"/>
  <c r="G57" i="8"/>
  <c r="G60" i="8" l="1"/>
  <c r="D57" i="8"/>
  <c r="D21" i="8"/>
  <c r="D24" i="8"/>
  <c r="G21" i="8"/>
  <c r="G17" i="8"/>
  <c r="G27" i="8" s="1"/>
  <c r="G13" i="8"/>
  <c r="G91" i="8" l="1"/>
  <c r="G92" i="8" s="1"/>
  <c r="G102" i="8"/>
  <c r="G103" i="8" s="1"/>
  <c r="G68" i="8"/>
  <c r="G69" i="8" s="1"/>
  <c r="G45" i="8"/>
  <c r="G46" i="8" s="1"/>
  <c r="G80" i="8"/>
  <c r="G81" i="8" s="1"/>
  <c r="G97" i="8"/>
  <c r="G98" i="8" s="1"/>
  <c r="G74" i="8"/>
  <c r="G75" i="8" s="1"/>
  <c r="G86" i="8"/>
  <c r="G87" i="8" s="1"/>
  <c r="G40" i="8"/>
  <c r="G41" i="8" s="1"/>
  <c r="G63" i="8"/>
  <c r="G64" i="8" s="1"/>
  <c r="G35" i="8"/>
  <c r="G30" i="8"/>
  <c r="G31" i="8" s="1"/>
  <c r="F215" i="9"/>
  <c r="B274" i="9"/>
  <c r="B264" i="9"/>
  <c r="B246" i="9"/>
  <c r="E270" i="9"/>
  <c r="E276" i="9" s="1"/>
  <c r="E277" i="9" s="1"/>
  <c r="E278" i="9" s="1"/>
  <c r="F270" i="9"/>
  <c r="F276" i="9" s="1"/>
  <c r="F277" i="9" s="1"/>
  <c r="F278" i="9" s="1"/>
  <c r="G270" i="9"/>
  <c r="G276" i="9" s="1"/>
  <c r="G277" i="9" s="1"/>
  <c r="G278" i="9" s="1"/>
  <c r="H270" i="9"/>
  <c r="H276" i="9" s="1"/>
  <c r="H277" i="9" s="1"/>
  <c r="H278" i="9" s="1"/>
  <c r="D270" i="9"/>
  <c r="D276" i="9" s="1"/>
  <c r="D277" i="9" s="1"/>
  <c r="D278" i="9" s="1"/>
  <c r="G36" i="8" l="1"/>
  <c r="F280" i="9"/>
  <c r="G280" i="9"/>
  <c r="D280" i="9"/>
  <c r="E280" i="9"/>
  <c r="H280" i="9"/>
  <c r="E23" i="7"/>
  <c r="E9" i="7"/>
  <c r="U15" i="4"/>
  <c r="G1" i="7"/>
  <c r="I32" i="3"/>
  <c r="U16" i="4" l="1"/>
  <c r="E252" i="9"/>
  <c r="F252" i="9"/>
  <c r="G252" i="9"/>
  <c r="H252" i="9"/>
  <c r="D252" i="9"/>
  <c r="A407" i="3"/>
  <c r="K375" i="9"/>
  <c r="I365" i="9"/>
  <c r="I366" i="9" s="1"/>
  <c r="W344" i="9"/>
  <c r="M344" i="9"/>
  <c r="W343" i="9"/>
  <c r="M343" i="9"/>
  <c r="W342" i="9"/>
  <c r="M342" i="9"/>
  <c r="W341" i="9"/>
  <c r="M341" i="9"/>
  <c r="W340" i="9"/>
  <c r="M340" i="9"/>
  <c r="W339" i="9"/>
  <c r="M339" i="9"/>
  <c r="W338" i="9"/>
  <c r="M338" i="9"/>
  <c r="W337" i="9"/>
  <c r="M337" i="9"/>
  <c r="W336" i="9"/>
  <c r="M336" i="9"/>
  <c r="W335" i="9"/>
  <c r="M335" i="9"/>
  <c r="W334" i="9"/>
  <c r="M334" i="9"/>
  <c r="W333" i="9"/>
  <c r="M333" i="9"/>
  <c r="W332" i="9"/>
  <c r="M332" i="9"/>
  <c r="W331" i="9"/>
  <c r="M331" i="9"/>
  <c r="W330" i="9"/>
  <c r="M330" i="9"/>
  <c r="W329" i="9"/>
  <c r="M329" i="9"/>
  <c r="W328" i="9"/>
  <c r="M328" i="9"/>
  <c r="W327" i="9"/>
  <c r="M327" i="9"/>
  <c r="B325" i="9"/>
  <c r="M326" i="9" s="1"/>
  <c r="A324" i="9"/>
  <c r="A325" i="9" s="1"/>
  <c r="W325" i="9" s="1"/>
  <c r="B316" i="9"/>
  <c r="M316" i="9" s="1"/>
  <c r="A316" i="9"/>
  <c r="W316" i="9" s="1"/>
  <c r="W315" i="9"/>
  <c r="S125" i="9"/>
  <c r="U125" i="9" s="1"/>
  <c r="S126" i="9"/>
  <c r="U126" i="9" s="1"/>
  <c r="S127" i="9"/>
  <c r="U127" i="9" s="1"/>
  <c r="S128" i="9"/>
  <c r="U128" i="9" s="1"/>
  <c r="S129" i="9"/>
  <c r="U129" i="9" s="1"/>
  <c r="H249" i="9"/>
  <c r="V127" i="9"/>
  <c r="G249" i="9"/>
  <c r="F249" i="9"/>
  <c r="D249" i="9"/>
  <c r="V126" i="9"/>
  <c r="V125" i="9"/>
  <c r="V128" i="9"/>
  <c r="V129" i="9"/>
  <c r="E249" i="9"/>
  <c r="V335" i="9" l="1"/>
  <c r="V332" i="9"/>
  <c r="V336" i="9"/>
  <c r="V340" i="9"/>
  <c r="V329" i="9"/>
  <c r="T315" i="9"/>
  <c r="V325" i="9"/>
  <c r="V328" i="9"/>
  <c r="V342" i="9"/>
  <c r="V330" i="9"/>
  <c r="V337" i="9"/>
  <c r="V333" i="9"/>
  <c r="V344" i="9"/>
  <c r="V341" i="9"/>
  <c r="W324" i="9"/>
  <c r="V331" i="9"/>
  <c r="V339" i="9"/>
  <c r="V343" i="9"/>
  <c r="V334" i="9"/>
  <c r="V338" i="9"/>
  <c r="V327" i="9"/>
  <c r="A326" i="9"/>
  <c r="W326" i="9" s="1"/>
  <c r="V326" i="9" s="1"/>
  <c r="A317" i="9"/>
  <c r="A319" i="9" s="1"/>
  <c r="A321" i="9" s="1"/>
  <c r="A322" i="9" s="1"/>
  <c r="A323" i="9" s="1"/>
  <c r="W323" i="9" s="1"/>
  <c r="V316" i="9"/>
  <c r="T316" i="9"/>
  <c r="A31" i="4"/>
  <c r="C27" i="9"/>
  <c r="I50" i="3"/>
  <c r="H2" i="4"/>
  <c r="A384" i="3"/>
  <c r="A385" i="3"/>
  <c r="M396" i="3"/>
  <c r="M395" i="3"/>
  <c r="M394" i="3"/>
  <c r="M393" i="3"/>
  <c r="M392" i="3"/>
  <c r="M391" i="3"/>
  <c r="M390" i="3"/>
  <c r="M389" i="3"/>
  <c r="M388" i="3"/>
  <c r="M387" i="3"/>
  <c r="S316" i="9" l="1"/>
  <c r="W317" i="9"/>
  <c r="T317" i="9" s="1"/>
  <c r="L317" i="9" s="1"/>
  <c r="A318" i="9"/>
  <c r="W318" i="9" s="1"/>
  <c r="L316" i="9"/>
  <c r="N316" i="9" s="1"/>
  <c r="W322" i="9"/>
  <c r="W319" i="9"/>
  <c r="A320" i="9"/>
  <c r="W320" i="9" s="1"/>
  <c r="W321" i="9"/>
  <c r="Q316" i="9"/>
  <c r="O316" i="9"/>
  <c r="C36" i="9"/>
  <c r="C43" i="9" s="1"/>
  <c r="I293" i="9"/>
  <c r="I287" i="9"/>
  <c r="F290" i="3"/>
  <c r="F292" i="3" s="1"/>
  <c r="F294" i="3" s="1"/>
  <c r="O266" i="9"/>
  <c r="I309" i="9"/>
  <c r="I300" i="9"/>
  <c r="F271" i="3"/>
  <c r="G271" i="3"/>
  <c r="H271" i="3"/>
  <c r="E271" i="3"/>
  <c r="B145" i="3"/>
  <c r="B146" i="3"/>
  <c r="B144" i="3"/>
  <c r="B157" i="3" s="1"/>
  <c r="M158" i="3" s="1"/>
  <c r="A144" i="3"/>
  <c r="A157" i="3" s="1"/>
  <c r="W157" i="3" s="1"/>
  <c r="M173" i="3"/>
  <c r="M172" i="3"/>
  <c r="M171" i="3"/>
  <c r="M170" i="3"/>
  <c r="M169" i="3"/>
  <c r="M168" i="3"/>
  <c r="M167" i="3"/>
  <c r="M166" i="3"/>
  <c r="M165" i="3"/>
  <c r="M164" i="3"/>
  <c r="M163" i="3"/>
  <c r="M162" i="3"/>
  <c r="M161" i="3"/>
  <c r="M160" i="3"/>
  <c r="M159" i="3"/>
  <c r="F201" i="9"/>
  <c r="E227" i="9"/>
  <c r="F227" i="9"/>
  <c r="G227" i="9"/>
  <c r="H227" i="9"/>
  <c r="D227" i="9"/>
  <c r="E225" i="9"/>
  <c r="E226" i="9" s="1"/>
  <c r="F225" i="9"/>
  <c r="F226" i="9" s="1"/>
  <c r="G225" i="9"/>
  <c r="G226" i="9" s="1"/>
  <c r="H225" i="9"/>
  <c r="H226" i="9" s="1"/>
  <c r="D225" i="9"/>
  <c r="D226" i="9" s="1"/>
  <c r="H275" i="3" l="1"/>
  <c r="H274" i="3"/>
  <c r="G275" i="3"/>
  <c r="G274" i="3"/>
  <c r="F274" i="3"/>
  <c r="F275" i="3"/>
  <c r="E275" i="3"/>
  <c r="E274" i="3"/>
  <c r="F296" i="3"/>
  <c r="W164" i="3"/>
  <c r="W144" i="3"/>
  <c r="T144" i="3" s="1"/>
  <c r="W160" i="3"/>
  <c r="W172" i="3"/>
  <c r="W168" i="3"/>
  <c r="W162" i="3"/>
  <c r="V162" i="3" s="1"/>
  <c r="W170" i="3"/>
  <c r="M145" i="3"/>
  <c r="W158" i="3"/>
  <c r="W166" i="3"/>
  <c r="V166" i="3" s="1"/>
  <c r="M146" i="3"/>
  <c r="H238" i="9"/>
  <c r="D238" i="9"/>
  <c r="E238" i="9"/>
  <c r="F238" i="9"/>
  <c r="G238" i="9"/>
  <c r="W159" i="3"/>
  <c r="W161" i="3"/>
  <c r="W163" i="3"/>
  <c r="W165" i="3"/>
  <c r="W167" i="3"/>
  <c r="W169" i="3"/>
  <c r="W171" i="3"/>
  <c r="W173" i="3"/>
  <c r="G271" i="9"/>
  <c r="F271" i="9"/>
  <c r="D271" i="9"/>
  <c r="E271" i="9"/>
  <c r="H257" i="9"/>
  <c r="G257" i="9"/>
  <c r="F257" i="9"/>
  <c r="E257" i="9"/>
  <c r="D257" i="9"/>
  <c r="E183" i="9"/>
  <c r="F183" i="9"/>
  <c r="G183" i="9"/>
  <c r="D183" i="9"/>
  <c r="E179" i="9"/>
  <c r="F179" i="9"/>
  <c r="G179" i="9"/>
  <c r="D179" i="9"/>
  <c r="E412" i="3"/>
  <c r="G268" i="9" l="1"/>
  <c r="E268" i="9"/>
  <c r="D268" i="9"/>
  <c r="F268" i="9"/>
  <c r="V167" i="3"/>
  <c r="V159" i="3"/>
  <c r="V173" i="3"/>
  <c r="V165" i="3"/>
  <c r="V157" i="3"/>
  <c r="V158" i="3"/>
  <c r="V168" i="3"/>
  <c r="V164" i="3"/>
  <c r="V169" i="3"/>
  <c r="V161" i="3"/>
  <c r="V170" i="3"/>
  <c r="V160" i="3"/>
  <c r="V171" i="3"/>
  <c r="V163" i="3"/>
  <c r="V172" i="3"/>
  <c r="H271" i="9"/>
  <c r="I101" i="9"/>
  <c r="I106" i="9"/>
  <c r="I111" i="9"/>
  <c r="H268" i="9" l="1"/>
  <c r="I48" i="3"/>
  <c r="I49" i="3" s="1"/>
  <c r="E27" i="7" l="1"/>
  <c r="G178" i="9"/>
  <c r="F178" i="9"/>
  <c r="E178" i="9"/>
  <c r="D178" i="9"/>
  <c r="I314" i="3"/>
  <c r="I29" i="5"/>
  <c r="H29" i="5"/>
  <c r="G29" i="5"/>
  <c r="F29" i="5"/>
  <c r="E29" i="5"/>
  <c r="D29" i="5"/>
  <c r="C29" i="5"/>
  <c r="B29" i="5"/>
  <c r="T14" i="5"/>
  <c r="D157" i="9"/>
  <c r="C149" i="9"/>
  <c r="C146" i="9"/>
  <c r="C150" i="9" s="1"/>
  <c r="S16" i="5" l="1"/>
  <c r="S18" i="5"/>
  <c r="S15" i="5"/>
  <c r="S17" i="5"/>
  <c r="T15" i="5"/>
  <c r="T18" i="5"/>
  <c r="T16" i="5"/>
  <c r="T17" i="5"/>
  <c r="E24" i="9"/>
  <c r="F24" i="9"/>
  <c r="G24" i="9"/>
  <c r="D24" i="9"/>
  <c r="C26" i="9"/>
  <c r="C35" i="9" s="1"/>
  <c r="C42" i="9" s="1"/>
  <c r="C25" i="9"/>
  <c r="C34" i="9" s="1"/>
  <c r="C41" i="9" s="1"/>
  <c r="D33" i="9" l="1"/>
  <c r="D40" i="9" s="1"/>
  <c r="D247" i="9" s="1"/>
  <c r="D265" i="9" s="1"/>
  <c r="E33" i="9"/>
  <c r="E40" i="9" s="1"/>
  <c r="E247" i="9" s="1"/>
  <c r="E265" i="9" s="1"/>
  <c r="F33" i="9"/>
  <c r="F40" i="9" s="1"/>
  <c r="F247" i="9" s="1"/>
  <c r="F265" i="9" s="1"/>
  <c r="H247" i="9"/>
  <c r="H265" i="9" s="1"/>
  <c r="G33" i="9"/>
  <c r="G40" i="9" s="1"/>
  <c r="G247" i="9" s="1"/>
  <c r="G265" i="9" s="1"/>
  <c r="E124" i="9"/>
  <c r="G124" i="9"/>
  <c r="I124" i="9"/>
  <c r="K124" i="9"/>
  <c r="E71" i="9"/>
  <c r="E93" i="9" s="1"/>
  <c r="G71" i="9"/>
  <c r="G93" i="9" s="1"/>
  <c r="I71" i="9"/>
  <c r="I93" i="9" s="1"/>
  <c r="K71" i="9"/>
  <c r="K93" i="9" s="1"/>
  <c r="F71" i="9"/>
  <c r="H71" i="9"/>
  <c r="J71" i="9"/>
  <c r="D71" i="9"/>
  <c r="E47" i="9"/>
  <c r="F47" i="9"/>
  <c r="H275" i="9" l="1"/>
  <c r="F275" i="9"/>
  <c r="E275" i="9"/>
  <c r="G275" i="9"/>
  <c r="D275" i="9"/>
  <c r="D47" i="9"/>
  <c r="D182" i="9" s="1"/>
  <c r="G47" i="9"/>
  <c r="G182" i="9" s="1"/>
  <c r="E177" i="9"/>
  <c r="E182" i="9"/>
  <c r="F182" i="9"/>
  <c r="F177" i="9"/>
  <c r="H93" i="9"/>
  <c r="H84" i="9"/>
  <c r="H124" i="9" s="1"/>
  <c r="D84" i="9"/>
  <c r="D124" i="9" s="1"/>
  <c r="D93" i="9"/>
  <c r="J84" i="9"/>
  <c r="J124" i="9" s="1"/>
  <c r="J93" i="9"/>
  <c r="F84" i="9"/>
  <c r="F124" i="9" s="1"/>
  <c r="F93" i="9"/>
  <c r="D112" i="9"/>
  <c r="I119" i="9"/>
  <c r="G177" i="9" l="1"/>
  <c r="D177" i="9"/>
  <c r="E35" i="7"/>
  <c r="E24" i="7"/>
  <c r="B36" i="7" l="1"/>
  <c r="E25" i="7"/>
  <c r="E26" i="7" s="1"/>
  <c r="E28" i="7" s="1"/>
  <c r="E29" i="7"/>
  <c r="E30" i="7" l="1"/>
  <c r="E31" i="7" s="1"/>
  <c r="F8" i="13"/>
  <c r="I8" i="3" l="1"/>
  <c r="F7" i="13" l="1"/>
  <c r="F15" i="13" l="1"/>
  <c r="F19" i="13"/>
  <c r="F22" i="13" s="1"/>
  <c r="I27" i="13" s="1"/>
  <c r="I33" i="13" s="1"/>
  <c r="F16" i="13"/>
  <c r="F18" i="13" l="1"/>
  <c r="F21" i="13" s="1"/>
  <c r="C27" i="13" s="1"/>
  <c r="C33" i="13" s="1"/>
  <c r="E15" i="7"/>
  <c r="E16" i="7" s="1"/>
  <c r="E8" i="7"/>
  <c r="E7" i="7" s="1"/>
  <c r="D52" i="3"/>
  <c r="A104" i="3" l="1"/>
  <c r="C28" i="4" l="1"/>
  <c r="D28" i="4"/>
  <c r="E28" i="4"/>
  <c r="F28" i="4"/>
  <c r="G28" i="4"/>
  <c r="H28" i="4"/>
  <c r="I28" i="4"/>
  <c r="J28" i="4"/>
  <c r="K28" i="4"/>
  <c r="L28" i="4"/>
  <c r="M28" i="4"/>
  <c r="N28" i="4"/>
  <c r="O28" i="4"/>
  <c r="P28" i="4"/>
  <c r="Q28" i="4"/>
  <c r="B28" i="4"/>
  <c r="A30" i="4"/>
  <c r="A29" i="4"/>
  <c r="N20" i="4"/>
  <c r="O20" i="4"/>
  <c r="P20" i="4"/>
  <c r="Q20" i="4"/>
  <c r="F507" i="3"/>
  <c r="G507" i="3"/>
  <c r="H507" i="3"/>
  <c r="I507" i="3"/>
  <c r="E507" i="3"/>
  <c r="A49" i="5"/>
  <c r="A46" i="5"/>
  <c r="A47" i="5"/>
  <c r="A48" i="5"/>
  <c r="A45" i="5"/>
  <c r="I280" i="3" l="1"/>
  <c r="B104" i="3"/>
  <c r="B147" i="3" s="1"/>
  <c r="M147" i="3" s="1"/>
  <c r="I318" i="3" l="1"/>
  <c r="I317" i="3"/>
  <c r="I25" i="3"/>
  <c r="B317" i="9" l="1"/>
  <c r="G359" i="9"/>
  <c r="AA18" i="11"/>
  <c r="AB18" i="11"/>
  <c r="AC18" i="11"/>
  <c r="AD18" i="11"/>
  <c r="AE18" i="11"/>
  <c r="AF18" i="11"/>
  <c r="AG18" i="11"/>
  <c r="AH18" i="11"/>
  <c r="AI18" i="11"/>
  <c r="AJ18" i="11"/>
  <c r="AK18" i="11"/>
  <c r="AL18" i="11"/>
  <c r="AM18" i="11"/>
  <c r="AN18" i="11"/>
  <c r="AO18" i="11"/>
  <c r="AP18" i="11"/>
  <c r="AQ18" i="11"/>
  <c r="AR18" i="11"/>
  <c r="AS18" i="11"/>
  <c r="AT18" i="11"/>
  <c r="AU18" i="11"/>
  <c r="L18" i="11"/>
  <c r="M18" i="11"/>
  <c r="N18" i="11"/>
  <c r="O18" i="11"/>
  <c r="P18" i="11"/>
  <c r="Y18" i="11"/>
  <c r="X18" i="11"/>
  <c r="W18" i="11"/>
  <c r="Q18" i="11"/>
  <c r="R18" i="11"/>
  <c r="S18" i="11"/>
  <c r="T18" i="11"/>
  <c r="U18" i="11"/>
  <c r="V18" i="11"/>
  <c r="Z18" i="11"/>
  <c r="K18" i="11"/>
  <c r="G8" i="11"/>
  <c r="I90" i="3"/>
  <c r="I92" i="3" s="1"/>
  <c r="M317" i="9" l="1"/>
  <c r="B318" i="9"/>
  <c r="V317" i="9"/>
  <c r="Q317" i="9"/>
  <c r="B319" i="9" l="1"/>
  <c r="M318" i="9"/>
  <c r="B323" i="9"/>
  <c r="V318" i="9"/>
  <c r="U318" i="9" s="1"/>
  <c r="O317" i="9"/>
  <c r="S317" i="9"/>
  <c r="N317" i="9"/>
  <c r="B324" i="9" l="1"/>
  <c r="V323" i="9"/>
  <c r="B322" i="9"/>
  <c r="M319" i="9"/>
  <c r="V319" i="9"/>
  <c r="U319" i="9" s="1"/>
  <c r="T318" i="9"/>
  <c r="S318" i="9" s="1"/>
  <c r="R13" i="4"/>
  <c r="I47" i="3"/>
  <c r="I102" i="9" s="1"/>
  <c r="I107" i="9" s="1"/>
  <c r="I118" i="9" s="1"/>
  <c r="T319" i="9" l="1"/>
  <c r="L319" i="9" s="1"/>
  <c r="N319" i="9" s="1"/>
  <c r="M324" i="9"/>
  <c r="V324" i="9"/>
  <c r="M325" i="9"/>
  <c r="L318" i="9"/>
  <c r="N318" i="9" s="1"/>
  <c r="Q318" i="9"/>
  <c r="O318" i="9"/>
  <c r="V322" i="9"/>
  <c r="M323" i="9"/>
  <c r="R28" i="4"/>
  <c r="G43" i="11"/>
  <c r="O319" i="9" l="1"/>
  <c r="S319" i="9"/>
  <c r="Q319" i="9"/>
  <c r="I74" i="3"/>
  <c r="B107" i="3" l="1"/>
  <c r="K14" i="4" l="1"/>
  <c r="O14" i="4"/>
  <c r="H15" i="4"/>
  <c r="L15" i="4"/>
  <c r="P15" i="4"/>
  <c r="I16" i="4"/>
  <c r="M16" i="4"/>
  <c r="Q16" i="4"/>
  <c r="D15" i="4"/>
  <c r="B16" i="4"/>
  <c r="F16" i="4"/>
  <c r="D14" i="4"/>
  <c r="H14" i="4"/>
  <c r="L14" i="4"/>
  <c r="P14" i="4"/>
  <c r="I15" i="4"/>
  <c r="M15" i="4"/>
  <c r="Q15" i="4"/>
  <c r="J16" i="4"/>
  <c r="N16" i="4"/>
  <c r="E15" i="4"/>
  <c r="C16" i="4"/>
  <c r="G16" i="4"/>
  <c r="E14" i="4"/>
  <c r="B106" i="3"/>
  <c r="B105" i="3" s="1"/>
  <c r="I14" i="4"/>
  <c r="M14" i="4"/>
  <c r="Q14" i="4"/>
  <c r="J15" i="4"/>
  <c r="N15" i="4"/>
  <c r="K16" i="4"/>
  <c r="O16" i="4"/>
  <c r="B15" i="4"/>
  <c r="F15" i="4"/>
  <c r="D16" i="4"/>
  <c r="B14" i="4"/>
  <c r="F14" i="4"/>
  <c r="J14" i="4"/>
  <c r="N14" i="4"/>
  <c r="K15" i="4"/>
  <c r="O15" i="4"/>
  <c r="H16" i="4"/>
  <c r="L16" i="4"/>
  <c r="P16" i="4"/>
  <c r="C15" i="4"/>
  <c r="G15" i="4"/>
  <c r="E16" i="4"/>
  <c r="C14" i="4"/>
  <c r="G14" i="4"/>
  <c r="R16" i="4"/>
  <c r="R15" i="4"/>
  <c r="R14" i="4"/>
  <c r="O22" i="4"/>
  <c r="Q23" i="4"/>
  <c r="P22" i="4"/>
  <c r="N23" i="4"/>
  <c r="P23" i="4"/>
  <c r="O23" i="4"/>
  <c r="N22" i="4"/>
  <c r="B150" i="3"/>
  <c r="V7" i="4"/>
  <c r="B304" i="3"/>
  <c r="I24" i="3"/>
  <c r="I301" i="9" s="1"/>
  <c r="E4" i="6"/>
  <c r="A326" i="3"/>
  <c r="A367" i="3" s="1"/>
  <c r="Q22" i="4" l="1"/>
  <c r="W384" i="3"/>
  <c r="W385" i="3"/>
  <c r="W389" i="3"/>
  <c r="W393" i="3"/>
  <c r="W386" i="3"/>
  <c r="W390" i="3"/>
  <c r="W394" i="3"/>
  <c r="W367" i="3"/>
  <c r="T367" i="3" s="1"/>
  <c r="W387" i="3"/>
  <c r="W391" i="3"/>
  <c r="W395" i="3"/>
  <c r="W388" i="3"/>
  <c r="W392" i="3"/>
  <c r="W396" i="3"/>
  <c r="G184" i="9"/>
  <c r="B149" i="3"/>
  <c r="M150" i="3" s="1"/>
  <c r="I26" i="3"/>
  <c r="E322" i="3" s="1"/>
  <c r="I323" i="3" s="1"/>
  <c r="G37" i="11"/>
  <c r="I27" i="3"/>
  <c r="F184" i="9" l="1"/>
  <c r="E184" i="9"/>
  <c r="B148" i="3"/>
  <c r="M148" i="3" s="1"/>
  <c r="D184" i="9"/>
  <c r="B108" i="3"/>
  <c r="B151" i="3" s="1"/>
  <c r="M151" i="3" s="1"/>
  <c r="B327" i="3"/>
  <c r="B328" i="3"/>
  <c r="B329" i="3"/>
  <c r="B330" i="3"/>
  <c r="B331" i="3"/>
  <c r="B332" i="3"/>
  <c r="B373" i="3" s="1"/>
  <c r="B344" i="3"/>
  <c r="B385" i="3" s="1"/>
  <c r="B326" i="3"/>
  <c r="B338" i="3" l="1"/>
  <c r="B379" i="3" s="1"/>
  <c r="B372" i="3"/>
  <c r="B342" i="3"/>
  <c r="B383" i="3" s="1"/>
  <c r="B368" i="3"/>
  <c r="M386" i="3"/>
  <c r="B340" i="3"/>
  <c r="B381" i="3" s="1"/>
  <c r="B370" i="3"/>
  <c r="B341" i="3"/>
  <c r="B382" i="3" s="1"/>
  <c r="B369" i="3"/>
  <c r="B343" i="3"/>
  <c r="B384" i="3" s="1"/>
  <c r="M385" i="3" s="1"/>
  <c r="B367" i="3"/>
  <c r="B339" i="3"/>
  <c r="B380" i="3" s="1"/>
  <c r="B371" i="3"/>
  <c r="M149" i="3"/>
  <c r="B337" i="3"/>
  <c r="B378" i="3" s="1"/>
  <c r="B333" i="3"/>
  <c r="B374" i="3" s="1"/>
  <c r="M374" i="3" s="1"/>
  <c r="I421" i="3"/>
  <c r="E98" i="6" s="1"/>
  <c r="L313" i="3"/>
  <c r="N313" i="3" s="1"/>
  <c r="V6" i="4"/>
  <c r="V5" i="4"/>
  <c r="M380" i="3" l="1"/>
  <c r="M383" i="3"/>
  <c r="M381" i="3"/>
  <c r="M342" i="3"/>
  <c r="M371" i="3"/>
  <c r="M369" i="3"/>
  <c r="M372" i="3"/>
  <c r="V388" i="3"/>
  <c r="V391" i="3"/>
  <c r="V395" i="3"/>
  <c r="V389" i="3"/>
  <c r="V396" i="3"/>
  <c r="V393" i="3"/>
  <c r="V394" i="3"/>
  <c r="V390" i="3"/>
  <c r="V392" i="3"/>
  <c r="V387" i="3"/>
  <c r="V386" i="3"/>
  <c r="M373" i="3"/>
  <c r="M379" i="3"/>
  <c r="M382" i="3"/>
  <c r="M341" i="3"/>
  <c r="M384" i="3"/>
  <c r="V384" i="3"/>
  <c r="M370" i="3"/>
  <c r="M368" i="3"/>
  <c r="V385" i="3"/>
  <c r="B31" i="4"/>
  <c r="D21" i="9" s="1"/>
  <c r="N21" i="4"/>
  <c r="B336" i="3"/>
  <c r="B377" i="3" s="1"/>
  <c r="M378" i="3" s="1"/>
  <c r="E30" i="6"/>
  <c r="E14" i="6"/>
  <c r="D412" i="3"/>
  <c r="G135" i="6"/>
  <c r="G138" i="6" s="1"/>
  <c r="I56" i="3"/>
  <c r="C31" i="4" l="1"/>
  <c r="D31" i="4" s="1"/>
  <c r="E31" i="4" s="1"/>
  <c r="F31" i="4" s="1"/>
  <c r="G31" i="4" s="1"/>
  <c r="P21" i="4"/>
  <c r="Q21" i="4"/>
  <c r="O21" i="4"/>
  <c r="B29" i="4"/>
  <c r="H128" i="6"/>
  <c r="H132" i="6" s="1"/>
  <c r="G9" i="11"/>
  <c r="G2" i="11" s="1"/>
  <c r="G3" i="11" s="1"/>
  <c r="E75" i="6"/>
  <c r="I57" i="3"/>
  <c r="G136" i="6"/>
  <c r="G139" i="6" s="1"/>
  <c r="I14" i="3"/>
  <c r="C39" i="5"/>
  <c r="E39" i="5"/>
  <c r="F39" i="5"/>
  <c r="G39" i="5"/>
  <c r="I39" i="5"/>
  <c r="E31" i="6"/>
  <c r="A102" i="3"/>
  <c r="J12" i="6"/>
  <c r="E3" i="6"/>
  <c r="C3" i="6" s="1"/>
  <c r="B9" i="6"/>
  <c r="E11" i="6"/>
  <c r="E12" i="6"/>
  <c r="C13" i="6" s="1"/>
  <c r="E13" i="6"/>
  <c r="E71" i="6" s="1"/>
  <c r="G17" i="6"/>
  <c r="G21" i="6"/>
  <c r="E51" i="6"/>
  <c r="E54" i="6"/>
  <c r="E55" i="6" s="1"/>
  <c r="E56" i="6" s="1"/>
  <c r="E60" i="6"/>
  <c r="E114" i="6" s="1"/>
  <c r="F84" i="6"/>
  <c r="E85" i="6"/>
  <c r="F86" i="6"/>
  <c r="E88" i="6"/>
  <c r="F99" i="6"/>
  <c r="I60" i="3"/>
  <c r="E21" i="9" l="1"/>
  <c r="H31" i="4"/>
  <c r="I31" i="4" s="1"/>
  <c r="J31" i="4" s="1"/>
  <c r="K31" i="4" s="1"/>
  <c r="L31" i="4" s="1"/>
  <c r="A327" i="3"/>
  <c r="A145" i="3"/>
  <c r="D19" i="9"/>
  <c r="C29" i="4"/>
  <c r="E14" i="7"/>
  <c r="E17" i="7" s="1"/>
  <c r="H129" i="6"/>
  <c r="H133" i="6" s="1"/>
  <c r="B30" i="4"/>
  <c r="G128" i="6"/>
  <c r="G132" i="6" s="1"/>
  <c r="G7" i="11"/>
  <c r="H135" i="6"/>
  <c r="H136" i="6" s="1"/>
  <c r="H139" i="6" s="1"/>
  <c r="G10" i="11"/>
  <c r="H39" i="5"/>
  <c r="D39" i="5"/>
  <c r="B39" i="5"/>
  <c r="E84" i="6"/>
  <c r="E86" i="6"/>
  <c r="E113" i="6"/>
  <c r="E17" i="6"/>
  <c r="E18" i="6" s="1"/>
  <c r="E5" i="6"/>
  <c r="E91" i="6" s="1"/>
  <c r="E25" i="6"/>
  <c r="E21" i="6"/>
  <c r="F21" i="9" l="1"/>
  <c r="M31" i="4"/>
  <c r="N31" i="4" s="1"/>
  <c r="O31" i="4" s="1"/>
  <c r="P31" i="4" s="1"/>
  <c r="Q31" i="4" s="1"/>
  <c r="R31" i="4" s="1"/>
  <c r="A342" i="3"/>
  <c r="A383" i="3" s="1"/>
  <c r="A368" i="3"/>
  <c r="W368" i="3" s="1"/>
  <c r="W145" i="3"/>
  <c r="A153" i="3"/>
  <c r="D29" i="4"/>
  <c r="L49" i="3"/>
  <c r="E12" i="7"/>
  <c r="H14" i="7" s="1"/>
  <c r="G14" i="7" s="1"/>
  <c r="E10" i="7"/>
  <c r="G17" i="7"/>
  <c r="E19" i="7"/>
  <c r="H138" i="6"/>
  <c r="I422" i="3"/>
  <c r="G493" i="3" s="1"/>
  <c r="G129" i="6"/>
  <c r="G133" i="6" s="1"/>
  <c r="E19" i="6"/>
  <c r="E22" i="6"/>
  <c r="E23" i="6"/>
  <c r="G35" i="7" l="1"/>
  <c r="G21" i="9"/>
  <c r="T368" i="3"/>
  <c r="V368" i="3"/>
  <c r="W383" i="3"/>
  <c r="V383" i="3" s="1"/>
  <c r="A381" i="3"/>
  <c r="W381" i="3" s="1"/>
  <c r="V381" i="3" s="1"/>
  <c r="V145" i="3"/>
  <c r="T145" i="3"/>
  <c r="A154" i="3"/>
  <c r="W154" i="3" s="1"/>
  <c r="W153" i="3"/>
  <c r="D20" i="9"/>
  <c r="E29" i="4"/>
  <c r="F29" i="4" s="1"/>
  <c r="C30" i="4"/>
  <c r="N24" i="4"/>
  <c r="O24" i="4"/>
  <c r="P24" i="4"/>
  <c r="Q24" i="4"/>
  <c r="E508" i="3"/>
  <c r="F508" i="3"/>
  <c r="G508" i="3"/>
  <c r="H508" i="3"/>
  <c r="I508" i="3"/>
  <c r="I21" i="9" l="1"/>
  <c r="H21" i="9"/>
  <c r="O368" i="3"/>
  <c r="Q368" i="3"/>
  <c r="L368" i="3"/>
  <c r="N368" i="3" s="1"/>
  <c r="S368" i="3"/>
  <c r="S145" i="3"/>
  <c r="L145" i="3"/>
  <c r="N145" i="3" s="1"/>
  <c r="Q145" i="3"/>
  <c r="O145" i="3"/>
  <c r="D30" i="4"/>
  <c r="G29" i="4"/>
  <c r="E19" i="9" l="1"/>
  <c r="E30" i="4"/>
  <c r="H29" i="4"/>
  <c r="J21" i="9" l="1"/>
  <c r="E27" i="9" s="1"/>
  <c r="G27" i="9"/>
  <c r="G36" i="9" s="1"/>
  <c r="F30" i="4"/>
  <c r="I29" i="4"/>
  <c r="F27" i="9" l="1"/>
  <c r="F36" i="9" s="1"/>
  <c r="E36" i="9"/>
  <c r="D27" i="9"/>
  <c r="G43" i="9"/>
  <c r="E43" i="9"/>
  <c r="G30" i="4"/>
  <c r="J29" i="4"/>
  <c r="H27" i="9" l="1"/>
  <c r="D43" i="9"/>
  <c r="D36" i="9"/>
  <c r="F43" i="9"/>
  <c r="E20" i="9"/>
  <c r="H30" i="4"/>
  <c r="K29" i="4"/>
  <c r="I30" i="4" l="1"/>
  <c r="L29" i="4"/>
  <c r="F19" i="9" l="1"/>
  <c r="J30" i="4"/>
  <c r="M29" i="4"/>
  <c r="K30" i="4" l="1"/>
  <c r="N29" i="4"/>
  <c r="I65" i="3"/>
  <c r="I64" i="3"/>
  <c r="L30" i="4" l="1"/>
  <c r="O29" i="4"/>
  <c r="P29" i="4" s="1"/>
  <c r="Q29" i="4" s="1"/>
  <c r="R29" i="4" s="1"/>
  <c r="F20" i="9" l="1"/>
  <c r="M30" i="4"/>
  <c r="M20" i="4"/>
  <c r="M23" i="4" s="1"/>
  <c r="L20" i="4"/>
  <c r="L23" i="4" s="1"/>
  <c r="K20" i="4"/>
  <c r="K23" i="4" s="1"/>
  <c r="J20" i="4"/>
  <c r="J23" i="4" s="1"/>
  <c r="I20" i="4"/>
  <c r="I23" i="4" s="1"/>
  <c r="H20" i="4"/>
  <c r="H23" i="4" s="1"/>
  <c r="G20" i="4"/>
  <c r="G23" i="4" s="1"/>
  <c r="F20" i="4"/>
  <c r="F23" i="4" s="1"/>
  <c r="E20" i="4"/>
  <c r="E23" i="4" s="1"/>
  <c r="D20" i="4"/>
  <c r="D23" i="4" s="1"/>
  <c r="C20" i="4"/>
  <c r="C23" i="4" s="1"/>
  <c r="B20" i="4"/>
  <c r="B23" i="4" s="1"/>
  <c r="C22" i="4" l="1"/>
  <c r="G22" i="4"/>
  <c r="K22" i="4"/>
  <c r="F22" i="4"/>
  <c r="J22" i="4"/>
  <c r="D22" i="4"/>
  <c r="H22" i="4"/>
  <c r="L22" i="4"/>
  <c r="E22" i="4"/>
  <c r="I22" i="4"/>
  <c r="M22" i="4"/>
  <c r="B22" i="4"/>
  <c r="N30" i="4"/>
  <c r="D21" i="4"/>
  <c r="F21" i="4"/>
  <c r="H21" i="4"/>
  <c r="J21" i="4"/>
  <c r="L21" i="4"/>
  <c r="B21" i="4"/>
  <c r="C21" i="4"/>
  <c r="E21" i="4"/>
  <c r="G21" i="4"/>
  <c r="I21" i="4"/>
  <c r="K21" i="4"/>
  <c r="M21" i="4"/>
  <c r="R20" i="4"/>
  <c r="R23" i="4" s="1"/>
  <c r="E24" i="4" l="1"/>
  <c r="R22" i="4"/>
  <c r="L24" i="4"/>
  <c r="D230" i="9"/>
  <c r="M24" i="4"/>
  <c r="I24" i="4"/>
  <c r="B24" i="4"/>
  <c r="H24" i="4"/>
  <c r="D24" i="4"/>
  <c r="G19" i="9"/>
  <c r="C24" i="4"/>
  <c r="K24" i="4"/>
  <c r="G24" i="4"/>
  <c r="J24" i="4"/>
  <c r="F24" i="4"/>
  <c r="O30" i="4"/>
  <c r="P30" i="4" s="1"/>
  <c r="Q30" i="4" s="1"/>
  <c r="R30" i="4" s="1"/>
  <c r="R21" i="4"/>
  <c r="H494" i="3"/>
  <c r="I19" i="9" l="1"/>
  <c r="H19" i="9"/>
  <c r="G180" i="9"/>
  <c r="E230" i="9"/>
  <c r="E180" i="9"/>
  <c r="E52" i="9"/>
  <c r="F75" i="9" s="1"/>
  <c r="F230" i="9"/>
  <c r="F180" i="9"/>
  <c r="F181" i="9" s="1"/>
  <c r="F52" i="9"/>
  <c r="G230" i="9"/>
  <c r="G52" i="9"/>
  <c r="H230" i="9"/>
  <c r="R24" i="4"/>
  <c r="D180" i="9" s="1"/>
  <c r="E185" i="9" l="1"/>
  <c r="E181" i="9"/>
  <c r="F185" i="9"/>
  <c r="F186" i="9" s="1"/>
  <c r="G181" i="9"/>
  <c r="G185" i="9"/>
  <c r="D52" i="9"/>
  <c r="E186" i="9" l="1"/>
  <c r="D181" i="9"/>
  <c r="D185" i="9"/>
  <c r="G186" i="9"/>
  <c r="G20" i="9"/>
  <c r="H20" i="9" l="1"/>
  <c r="I20" i="9"/>
  <c r="D186" i="9"/>
  <c r="F494" i="3"/>
  <c r="G494" i="3"/>
  <c r="I494" i="3"/>
  <c r="E494" i="3"/>
  <c r="J19" i="9" l="1"/>
  <c r="J75" i="9"/>
  <c r="H75" i="9"/>
  <c r="D25" i="9" l="1"/>
  <c r="E25" i="9"/>
  <c r="E41" i="9" s="1"/>
  <c r="F25" i="9"/>
  <c r="F41" i="9" s="1"/>
  <c r="G25" i="9"/>
  <c r="G41" i="9" s="1"/>
  <c r="J95" i="9"/>
  <c r="J73" i="9"/>
  <c r="J97" i="9"/>
  <c r="D41" i="9" l="1"/>
  <c r="H25" i="9"/>
  <c r="G34" i="9"/>
  <c r="E34" i="9"/>
  <c r="F34" i="9"/>
  <c r="D34" i="9"/>
  <c r="J20" i="9" l="1"/>
  <c r="E26" i="9" s="1"/>
  <c r="E42" i="9" s="1"/>
  <c r="H73" i="9"/>
  <c r="H95" i="9"/>
  <c r="H97" i="9"/>
  <c r="F73" i="9"/>
  <c r="F95" i="9"/>
  <c r="F97" i="9"/>
  <c r="D75" i="9"/>
  <c r="E35" i="9" l="1"/>
  <c r="G26" i="9"/>
  <c r="G42" i="9" s="1"/>
  <c r="D26" i="9"/>
  <c r="F26" i="9"/>
  <c r="F42" i="9" s="1"/>
  <c r="D73" i="9"/>
  <c r="D95" i="9"/>
  <c r="D97" i="9"/>
  <c r="D42" i="9" l="1"/>
  <c r="D44" i="9" s="1"/>
  <c r="H26" i="9"/>
  <c r="E44" i="9"/>
  <c r="F44" i="9"/>
  <c r="E28" i="9"/>
  <c r="E37" i="9"/>
  <c r="G44" i="9"/>
  <c r="G28" i="9"/>
  <c r="F28" i="9"/>
  <c r="D28" i="9"/>
  <c r="F35" i="9"/>
  <c r="D35" i="9"/>
  <c r="G35" i="9"/>
  <c r="I81" i="3"/>
  <c r="I86" i="3" s="1"/>
  <c r="F37" i="9" l="1"/>
  <c r="G37" i="9"/>
  <c r="F29" i="9"/>
  <c r="F30" i="9" s="1"/>
  <c r="H30" i="9" s="1"/>
  <c r="D37" i="9"/>
  <c r="E48" i="9"/>
  <c r="I112" i="9" l="1"/>
  <c r="G48" i="9"/>
  <c r="F48" i="9"/>
  <c r="D48" i="9"/>
  <c r="A329" i="3"/>
  <c r="A105" i="3"/>
  <c r="A330" i="3" s="1"/>
  <c r="I306" i="9" l="1"/>
  <c r="W342" i="3"/>
  <c r="I367" i="9"/>
  <c r="A340" i="3"/>
  <c r="A339" i="3"/>
  <c r="B229" i="3" l="1"/>
  <c r="B230" i="3" s="1"/>
  <c r="M256" i="3"/>
  <c r="M255" i="3"/>
  <c r="M254" i="3"/>
  <c r="M253" i="3"/>
  <c r="M252" i="3"/>
  <c r="M251" i="3"/>
  <c r="M250" i="3"/>
  <c r="M249" i="3"/>
  <c r="M248" i="3"/>
  <c r="M247" i="3"/>
  <c r="M246" i="3"/>
  <c r="M245" i="3"/>
  <c r="M244" i="3"/>
  <c r="M243" i="3"/>
  <c r="M242" i="3"/>
  <c r="M241" i="3"/>
  <c r="M240" i="3"/>
  <c r="M239" i="3"/>
  <c r="M235" i="3" l="1"/>
  <c r="M230" i="3"/>
  <c r="M219" i="3"/>
  <c r="M218" i="3"/>
  <c r="M217" i="3"/>
  <c r="M216" i="3"/>
  <c r="M215" i="3"/>
  <c r="M214" i="3"/>
  <c r="M213" i="3"/>
  <c r="M212" i="3"/>
  <c r="M211" i="3"/>
  <c r="M210" i="3"/>
  <c r="M209" i="3"/>
  <c r="M208" i="3"/>
  <c r="M207" i="3"/>
  <c r="M205" i="3"/>
  <c r="M204" i="3"/>
  <c r="M202" i="3"/>
  <c r="M236" i="3" l="1"/>
  <c r="M206" i="3"/>
  <c r="M203" i="3"/>
  <c r="M238" i="3" l="1"/>
  <c r="M237" i="3"/>
  <c r="B109" i="3"/>
  <c r="B152" i="3" s="1"/>
  <c r="B113" i="3"/>
  <c r="B156" i="3" s="1"/>
  <c r="B112" i="3"/>
  <c r="B155" i="3" s="1"/>
  <c r="B111" i="3"/>
  <c r="B154" i="3" s="1"/>
  <c r="B110" i="3"/>
  <c r="B153" i="3" s="1"/>
  <c r="B114" i="3"/>
  <c r="A114" i="3"/>
  <c r="A111" i="3"/>
  <c r="A110" i="3"/>
  <c r="M155" i="3" l="1"/>
  <c r="M154" i="3"/>
  <c r="V154" i="3"/>
  <c r="M153" i="3"/>
  <c r="V153" i="3"/>
  <c r="M152" i="3"/>
  <c r="M156" i="3"/>
  <c r="M157" i="3"/>
  <c r="B451" i="3"/>
  <c r="A450" i="3"/>
  <c r="B450" i="3"/>
  <c r="A464" i="3"/>
  <c r="A449" i="3"/>
  <c r="B449" i="3"/>
  <c r="B447" i="3"/>
  <c r="B448" i="3"/>
  <c r="B446" i="3"/>
  <c r="B452" i="3"/>
  <c r="A192" i="3"/>
  <c r="A198" i="3" s="1"/>
  <c r="B191" i="3"/>
  <c r="B197" i="3" s="1"/>
  <c r="A191" i="3"/>
  <c r="B192" i="3"/>
  <c r="B198" i="3" s="1"/>
  <c r="B190" i="3"/>
  <c r="B193" i="3"/>
  <c r="M327" i="3"/>
  <c r="M198" i="3" l="1"/>
  <c r="B464" i="3"/>
  <c r="B461" i="3"/>
  <c r="A460" i="3"/>
  <c r="B458" i="3"/>
  <c r="B457" i="3"/>
  <c r="B462" i="3"/>
  <c r="B463" i="3"/>
  <c r="A461" i="3"/>
  <c r="B460" i="3"/>
  <c r="B459" i="3"/>
  <c r="B453" i="3"/>
  <c r="M193" i="3"/>
  <c r="B199" i="3"/>
  <c r="B194" i="3"/>
  <c r="B200" i="3" s="1"/>
  <c r="B196" i="3"/>
  <c r="A197" i="3"/>
  <c r="M192" i="3"/>
  <c r="M191" i="3"/>
  <c r="M331" i="3"/>
  <c r="M355" i="3"/>
  <c r="M354" i="3"/>
  <c r="M353" i="3"/>
  <c r="M352" i="3"/>
  <c r="M351" i="3"/>
  <c r="M350" i="3"/>
  <c r="M349" i="3"/>
  <c r="M348" i="3"/>
  <c r="M347" i="3"/>
  <c r="M346" i="3"/>
  <c r="M345" i="3"/>
  <c r="M344" i="3"/>
  <c r="M343" i="3"/>
  <c r="M340" i="3"/>
  <c r="M339" i="3"/>
  <c r="M338" i="3"/>
  <c r="M333" i="3"/>
  <c r="M332" i="3"/>
  <c r="I309" i="3" l="1"/>
  <c r="E33" i="6" s="1"/>
  <c r="I511" i="3"/>
  <c r="H511" i="3"/>
  <c r="F511" i="3"/>
  <c r="E511" i="3"/>
  <c r="G511" i="3"/>
  <c r="B456" i="3"/>
  <c r="E72" i="6"/>
  <c r="M195" i="3"/>
  <c r="M194" i="3"/>
  <c r="M196" i="3"/>
  <c r="B227" i="3"/>
  <c r="M199" i="3"/>
  <c r="B228" i="3"/>
  <c r="M197" i="3"/>
  <c r="M200" i="3"/>
  <c r="M201" i="3"/>
  <c r="F429" i="3" l="1"/>
  <c r="F412" i="3"/>
  <c r="B231" i="3"/>
  <c r="M231" i="3" s="1"/>
  <c r="M229" i="3"/>
  <c r="M228" i="3"/>
  <c r="B233" i="3"/>
  <c r="B232" i="3"/>
  <c r="M328" i="3"/>
  <c r="M234" i="3" l="1"/>
  <c r="M233" i="3"/>
  <c r="M232" i="3"/>
  <c r="M330" i="3"/>
  <c r="M329" i="3"/>
  <c r="W102" i="3" l="1"/>
  <c r="T102" i="3" s="1"/>
  <c r="A106" i="3"/>
  <c r="A149" i="3" s="1"/>
  <c r="W149" i="3" s="1"/>
  <c r="V149" i="3" s="1"/>
  <c r="W101" i="3"/>
  <c r="T101" i="3" s="1"/>
  <c r="M102" i="3"/>
  <c r="M103" i="3"/>
  <c r="W104" i="3"/>
  <c r="M104" i="3"/>
  <c r="W105" i="3"/>
  <c r="M105" i="3"/>
  <c r="M106" i="3"/>
  <c r="M107" i="3"/>
  <c r="M108" i="3"/>
  <c r="M109" i="3"/>
  <c r="W110" i="3"/>
  <c r="M110" i="3"/>
  <c r="W111" i="3"/>
  <c r="M111" i="3"/>
  <c r="M112" i="3"/>
  <c r="M113" i="3"/>
  <c r="W114" i="3"/>
  <c r="M114" i="3"/>
  <c r="W115" i="3"/>
  <c r="M115" i="3"/>
  <c r="W116" i="3"/>
  <c r="M116" i="3"/>
  <c r="W117" i="3"/>
  <c r="M117" i="3"/>
  <c r="W118" i="3"/>
  <c r="M118" i="3"/>
  <c r="W119" i="3"/>
  <c r="M119" i="3"/>
  <c r="W120" i="3"/>
  <c r="M120" i="3"/>
  <c r="W121" i="3"/>
  <c r="M121" i="3"/>
  <c r="W122" i="3"/>
  <c r="M122" i="3"/>
  <c r="W123" i="3"/>
  <c r="M123" i="3"/>
  <c r="W124" i="3"/>
  <c r="M124" i="3"/>
  <c r="W125" i="3"/>
  <c r="M125" i="3"/>
  <c r="W126" i="3"/>
  <c r="M126" i="3"/>
  <c r="W127" i="3"/>
  <c r="M127" i="3"/>
  <c r="W128" i="3"/>
  <c r="M128" i="3"/>
  <c r="W129" i="3"/>
  <c r="M129" i="3"/>
  <c r="W130" i="3"/>
  <c r="M130" i="3"/>
  <c r="A331" i="3" l="1"/>
  <c r="W106" i="3"/>
  <c r="V106" i="3" s="1"/>
  <c r="A107" i="3"/>
  <c r="A150" i="3" s="1"/>
  <c r="W150" i="3" s="1"/>
  <c r="V150" i="3" s="1"/>
  <c r="A103" i="3"/>
  <c r="A113" i="3"/>
  <c r="A156" i="3" s="1"/>
  <c r="W156" i="3" s="1"/>
  <c r="V156" i="3" s="1"/>
  <c r="V130" i="3"/>
  <c r="V129" i="3"/>
  <c r="V128" i="3"/>
  <c r="V127" i="3"/>
  <c r="V126" i="3"/>
  <c r="V125" i="3"/>
  <c r="V124" i="3"/>
  <c r="V123" i="3"/>
  <c r="V122" i="3"/>
  <c r="V121" i="3"/>
  <c r="V120" i="3"/>
  <c r="V119" i="3"/>
  <c r="V118" i="3"/>
  <c r="V117" i="3"/>
  <c r="V116" i="3"/>
  <c r="V115" i="3"/>
  <c r="V114" i="3"/>
  <c r="V111" i="3"/>
  <c r="V110" i="3"/>
  <c r="V105" i="3"/>
  <c r="V104" i="3"/>
  <c r="U104" i="3" s="1"/>
  <c r="T104" i="3" s="1"/>
  <c r="V102" i="3"/>
  <c r="O102" i="3"/>
  <c r="S102" i="3"/>
  <c r="L102" i="3"/>
  <c r="N102" i="3" s="1"/>
  <c r="Q102" i="3"/>
  <c r="A338" i="3" l="1"/>
  <c r="A379" i="3" s="1"/>
  <c r="W379" i="3" s="1"/>
  <c r="V379" i="3" s="1"/>
  <c r="A372" i="3"/>
  <c r="W372" i="3" s="1"/>
  <c r="V372" i="3" s="1"/>
  <c r="A328" i="3"/>
  <c r="A146" i="3"/>
  <c r="A332" i="3"/>
  <c r="U105" i="3"/>
  <c r="T105" i="3" s="1"/>
  <c r="Q105" i="3" s="1"/>
  <c r="A447" i="3"/>
  <c r="A451" i="3"/>
  <c r="W113" i="3"/>
  <c r="V113" i="3" s="1"/>
  <c r="A112" i="3"/>
  <c r="A155" i="3" s="1"/>
  <c r="W155" i="3" s="1"/>
  <c r="V155" i="3" s="1"/>
  <c r="W103" i="3"/>
  <c r="A229" i="3"/>
  <c r="A109" i="3"/>
  <c r="A152" i="3" s="1"/>
  <c r="W152" i="3" s="1"/>
  <c r="V152" i="3" s="1"/>
  <c r="A108" i="3"/>
  <c r="A151" i="3" s="1"/>
  <c r="W151" i="3" s="1"/>
  <c r="V151" i="3" s="1"/>
  <c r="W107" i="3"/>
  <c r="V107" i="3" s="1"/>
  <c r="A337" i="3" l="1"/>
  <c r="A378" i="3" s="1"/>
  <c r="W378" i="3" s="1"/>
  <c r="V378" i="3" s="1"/>
  <c r="A373" i="3"/>
  <c r="W373" i="3" s="1"/>
  <c r="V373" i="3" s="1"/>
  <c r="A341" i="3"/>
  <c r="A369" i="3"/>
  <c r="A147" i="3"/>
  <c r="W146" i="3"/>
  <c r="A459" i="3"/>
  <c r="A463" i="3"/>
  <c r="U106" i="3"/>
  <c r="T106" i="3" s="1"/>
  <c r="L106" i="3" s="1"/>
  <c r="N106" i="3" s="1"/>
  <c r="A193" i="3"/>
  <c r="W109" i="3"/>
  <c r="V109" i="3" s="1"/>
  <c r="A448" i="3"/>
  <c r="W108" i="3"/>
  <c r="V108" i="3" s="1"/>
  <c r="A452" i="3"/>
  <c r="V103" i="3"/>
  <c r="T103" i="3"/>
  <c r="A190" i="3"/>
  <c r="W112" i="3"/>
  <c r="V112" i="3" s="1"/>
  <c r="S105" i="3"/>
  <c r="O105" i="3"/>
  <c r="L105" i="3"/>
  <c r="N105" i="3" s="1"/>
  <c r="W341" i="3" l="1"/>
  <c r="A382" i="3"/>
  <c r="A370" i="3"/>
  <c r="W369" i="3"/>
  <c r="A148" i="3"/>
  <c r="W148" i="3" s="1"/>
  <c r="V148" i="3" s="1"/>
  <c r="W147" i="3"/>
  <c r="V147" i="3" s="1"/>
  <c r="U147" i="3" s="1"/>
  <c r="V146" i="3"/>
  <c r="T146" i="3"/>
  <c r="B334" i="3"/>
  <c r="B320" i="9" s="1"/>
  <c r="A462" i="3"/>
  <c r="A458" i="3"/>
  <c r="U107" i="3"/>
  <c r="T107" i="3" s="1"/>
  <c r="Q107" i="3" s="1"/>
  <c r="A196" i="3"/>
  <c r="W204" i="3"/>
  <c r="W201" i="3"/>
  <c r="W206" i="3"/>
  <c r="W218" i="3"/>
  <c r="W216" i="3"/>
  <c r="W214" i="3"/>
  <c r="W212" i="3"/>
  <c r="W210" i="3"/>
  <c r="W208" i="3"/>
  <c r="W203" i="3"/>
  <c r="W195" i="3"/>
  <c r="W192" i="3"/>
  <c r="W191" i="3"/>
  <c r="T191" i="3" s="1"/>
  <c r="A194" i="3"/>
  <c r="W205" i="3"/>
  <c r="W198" i="3"/>
  <c r="W219" i="3"/>
  <c r="W217" i="3"/>
  <c r="W215" i="3"/>
  <c r="W213" i="3"/>
  <c r="W211" i="3"/>
  <c r="W209" i="3"/>
  <c r="W207" i="3"/>
  <c r="W202" i="3"/>
  <c r="W190" i="3"/>
  <c r="W197" i="3"/>
  <c r="L104" i="3"/>
  <c r="N104" i="3" s="1"/>
  <c r="O104" i="3"/>
  <c r="O103" i="3"/>
  <c r="S103" i="3"/>
  <c r="Q104" i="3"/>
  <c r="S104" i="3"/>
  <c r="L103" i="3"/>
  <c r="N103" i="3" s="1"/>
  <c r="Q103" i="3"/>
  <c r="A199" i="3"/>
  <c r="W193" i="3"/>
  <c r="O106" i="3"/>
  <c r="S106" i="3"/>
  <c r="Q106" i="3"/>
  <c r="M320" i="9" l="1"/>
  <c r="I372" i="9"/>
  <c r="I378" i="9" s="1"/>
  <c r="I380" i="9" s="1"/>
  <c r="B321" i="9"/>
  <c r="V320" i="9"/>
  <c r="U320" i="9" s="1"/>
  <c r="B335" i="3"/>
  <c r="B376" i="3" s="1"/>
  <c r="B375" i="3"/>
  <c r="M375" i="3" s="1"/>
  <c r="W382" i="3"/>
  <c r="V382" i="3" s="1"/>
  <c r="A380" i="3"/>
  <c r="W380" i="3" s="1"/>
  <c r="V380" i="3" s="1"/>
  <c r="W370" i="3"/>
  <c r="V370" i="3" s="1"/>
  <c r="U370" i="3" s="1"/>
  <c r="A371" i="3"/>
  <c r="W371" i="3" s="1"/>
  <c r="V371" i="3" s="1"/>
  <c r="T369" i="3"/>
  <c r="V369" i="3"/>
  <c r="T147" i="3"/>
  <c r="S147" i="3" s="1"/>
  <c r="U148" i="3"/>
  <c r="Q146" i="3"/>
  <c r="O146" i="3"/>
  <c r="S146" i="3"/>
  <c r="L146" i="3"/>
  <c r="N146" i="3" s="1"/>
  <c r="U108" i="3"/>
  <c r="T108" i="3" s="1"/>
  <c r="Q108" i="3" s="1"/>
  <c r="V193" i="3"/>
  <c r="U193" i="3" s="1"/>
  <c r="T193" i="3" s="1"/>
  <c r="A228" i="3"/>
  <c r="W199" i="3"/>
  <c r="V199" i="3" s="1"/>
  <c r="V191" i="3"/>
  <c r="T190" i="3"/>
  <c r="V207" i="3"/>
  <c r="V211" i="3"/>
  <c r="V215" i="3"/>
  <c r="V219" i="3"/>
  <c r="V205" i="3"/>
  <c r="V195" i="3"/>
  <c r="V208" i="3"/>
  <c r="V212" i="3"/>
  <c r="V216" i="3"/>
  <c r="V206" i="3"/>
  <c r="V204" i="3"/>
  <c r="V197" i="3"/>
  <c r="V202" i="3"/>
  <c r="V209" i="3"/>
  <c r="V213" i="3"/>
  <c r="V217" i="3"/>
  <c r="V198" i="3"/>
  <c r="W194" i="3"/>
  <c r="V194" i="3" s="1"/>
  <c r="A200" i="3"/>
  <c r="W200" i="3" s="1"/>
  <c r="V200" i="3" s="1"/>
  <c r="T192" i="3"/>
  <c r="V192" i="3"/>
  <c r="V203" i="3"/>
  <c r="V210" i="3"/>
  <c r="V214" i="3"/>
  <c r="V218" i="3"/>
  <c r="V201" i="3"/>
  <c r="A227" i="3"/>
  <c r="W196" i="3"/>
  <c r="V196" i="3" s="1"/>
  <c r="L107" i="3"/>
  <c r="N107" i="3" s="1"/>
  <c r="S107" i="3"/>
  <c r="O107" i="3"/>
  <c r="M321" i="9" l="1"/>
  <c r="V321" i="9"/>
  <c r="U321" i="9" s="1"/>
  <c r="M322" i="9"/>
  <c r="T320" i="9"/>
  <c r="S320" i="9" s="1"/>
  <c r="M376" i="3"/>
  <c r="M377" i="3"/>
  <c r="S369" i="3"/>
  <c r="L369" i="3"/>
  <c r="N369" i="3" s="1"/>
  <c r="O369" i="3"/>
  <c r="Q369" i="3"/>
  <c r="U371" i="3"/>
  <c r="T370" i="3"/>
  <c r="L370" i="3" s="1"/>
  <c r="N370" i="3" s="1"/>
  <c r="L147" i="3"/>
  <c r="N147" i="3" s="1"/>
  <c r="Q147" i="3"/>
  <c r="U149" i="3"/>
  <c r="T148" i="3"/>
  <c r="L148" i="3" s="1"/>
  <c r="N148" i="3" s="1"/>
  <c r="O147" i="3"/>
  <c r="U109" i="3"/>
  <c r="T109" i="3" s="1"/>
  <c r="Q109" i="3" s="1"/>
  <c r="U194" i="3"/>
  <c r="T194" i="3" s="1"/>
  <c r="R192" i="3"/>
  <c r="R193" i="3"/>
  <c r="O193" i="3"/>
  <c r="Q193" i="3"/>
  <c r="L193" i="3"/>
  <c r="N193" i="3" s="1"/>
  <c r="Q192" i="3"/>
  <c r="O192" i="3"/>
  <c r="O191" i="3"/>
  <c r="S191" i="3"/>
  <c r="L191" i="3"/>
  <c r="N191" i="3" s="1"/>
  <c r="Q191" i="3"/>
  <c r="R191" i="3"/>
  <c r="A233" i="3"/>
  <c r="W233" i="3" s="1"/>
  <c r="W256" i="3"/>
  <c r="W252" i="3"/>
  <c r="W248" i="3"/>
  <c r="W244" i="3"/>
  <c r="W239" i="3"/>
  <c r="W255" i="3"/>
  <c r="W251" i="3"/>
  <c r="W247" i="3"/>
  <c r="W243" i="3"/>
  <c r="W240" i="3"/>
  <c r="W234" i="3"/>
  <c r="W227" i="3"/>
  <c r="T227" i="3" s="1"/>
  <c r="W237" i="3"/>
  <c r="A232" i="3"/>
  <c r="W232" i="3" s="1"/>
  <c r="W254" i="3"/>
  <c r="W250" i="3"/>
  <c r="W246" i="3"/>
  <c r="W241" i="3"/>
  <c r="W235" i="3"/>
  <c r="W253" i="3"/>
  <c r="V253" i="3" s="1"/>
  <c r="W249" i="3"/>
  <c r="W245" i="3"/>
  <c r="W242" i="3"/>
  <c r="W238" i="3"/>
  <c r="V238" i="3" s="1"/>
  <c r="W236" i="3"/>
  <c r="W229" i="3"/>
  <c r="S193" i="3"/>
  <c r="L192" i="3"/>
  <c r="N192" i="3" s="1"/>
  <c r="S192" i="3"/>
  <c r="W228" i="3"/>
  <c r="A230" i="3"/>
  <c r="L108" i="3"/>
  <c r="N108" i="3" s="1"/>
  <c r="O108" i="3"/>
  <c r="S108" i="3"/>
  <c r="O320" i="9" l="1"/>
  <c r="T321" i="9"/>
  <c r="O321" i="9" s="1"/>
  <c r="U322" i="9"/>
  <c r="L320" i="9"/>
  <c r="N320" i="9" s="1"/>
  <c r="Q320" i="9"/>
  <c r="U372" i="3"/>
  <c r="T371" i="3"/>
  <c r="L371" i="3" s="1"/>
  <c r="N371" i="3" s="1"/>
  <c r="O370" i="3"/>
  <c r="Q370" i="3"/>
  <c r="S370" i="3"/>
  <c r="Q148" i="3"/>
  <c r="S148" i="3"/>
  <c r="T149" i="3"/>
  <c r="U150" i="3"/>
  <c r="O148" i="3"/>
  <c r="V250" i="3"/>
  <c r="V245" i="3"/>
  <c r="V232" i="3"/>
  <c r="V241" i="3"/>
  <c r="U110" i="3"/>
  <c r="U111" i="3" s="1"/>
  <c r="U195" i="3"/>
  <c r="U196" i="3" s="1"/>
  <c r="L194" i="3"/>
  <c r="N194" i="3" s="1"/>
  <c r="Q194" i="3"/>
  <c r="R194" i="3"/>
  <c r="S194" i="3"/>
  <c r="L109" i="3"/>
  <c r="N109" i="3" s="1"/>
  <c r="O194" i="3"/>
  <c r="V236" i="3"/>
  <c r="V242" i="3"/>
  <c r="V249" i="3"/>
  <c r="V235" i="3"/>
  <c r="V246" i="3"/>
  <c r="V254" i="3"/>
  <c r="V237" i="3"/>
  <c r="V234" i="3"/>
  <c r="V243" i="3"/>
  <c r="V251" i="3"/>
  <c r="A231" i="3"/>
  <c r="W231" i="3" s="1"/>
  <c r="V231" i="3" s="1"/>
  <c r="W230" i="3"/>
  <c r="V230" i="3" s="1"/>
  <c r="U230" i="3" s="1"/>
  <c r="V239" i="3"/>
  <c r="V248" i="3"/>
  <c r="V256" i="3"/>
  <c r="T228" i="3"/>
  <c r="S228" i="3" s="1"/>
  <c r="V228" i="3"/>
  <c r="T229" i="3"/>
  <c r="V229" i="3"/>
  <c r="V240" i="3"/>
  <c r="V247" i="3"/>
  <c r="V255" i="3"/>
  <c r="V244" i="3"/>
  <c r="V252" i="3"/>
  <c r="V233" i="3"/>
  <c r="S109" i="3"/>
  <c r="O109" i="3"/>
  <c r="Q321" i="9" l="1"/>
  <c r="L321" i="9"/>
  <c r="N321" i="9" s="1"/>
  <c r="S321" i="9"/>
  <c r="T322" i="9"/>
  <c r="L322" i="9" s="1"/>
  <c r="N322" i="9" s="1"/>
  <c r="U323" i="9"/>
  <c r="O371" i="3"/>
  <c r="S371" i="3"/>
  <c r="T372" i="3"/>
  <c r="L372" i="3" s="1"/>
  <c r="N372" i="3" s="1"/>
  <c r="U373" i="3"/>
  <c r="Q371" i="3"/>
  <c r="S149" i="3"/>
  <c r="U151" i="3"/>
  <c r="T150" i="3"/>
  <c r="Q150" i="3" s="1"/>
  <c r="Q149" i="3"/>
  <c r="L149" i="3"/>
  <c r="N149" i="3" s="1"/>
  <c r="O149" i="3"/>
  <c r="T110" i="3"/>
  <c r="Q110" i="3" s="1"/>
  <c r="T195" i="3"/>
  <c r="L195" i="3" s="1"/>
  <c r="N195" i="3" s="1"/>
  <c r="L228" i="3"/>
  <c r="N228" i="3" s="1"/>
  <c r="Q228" i="3"/>
  <c r="O228" i="3"/>
  <c r="O229" i="3"/>
  <c r="Q229" i="3"/>
  <c r="S229" i="3"/>
  <c r="L229" i="3"/>
  <c r="N229" i="3" s="1"/>
  <c r="U231" i="3"/>
  <c r="T230" i="3"/>
  <c r="Q230" i="3" s="1"/>
  <c r="U197" i="3"/>
  <c r="T196" i="3"/>
  <c r="T111" i="3"/>
  <c r="U112" i="3"/>
  <c r="S322" i="9" l="1"/>
  <c r="O322" i="9"/>
  <c r="Q322" i="9"/>
  <c r="U324" i="9"/>
  <c r="T323" i="9"/>
  <c r="S323" i="9" s="1"/>
  <c r="O372" i="3"/>
  <c r="T373" i="3"/>
  <c r="S373" i="3" s="1"/>
  <c r="Q372" i="3"/>
  <c r="S372" i="3"/>
  <c r="S150" i="3"/>
  <c r="L150" i="3"/>
  <c r="N150" i="3" s="1"/>
  <c r="U152" i="3"/>
  <c r="T151" i="3"/>
  <c r="O151" i="3" s="1"/>
  <c r="O150" i="3"/>
  <c r="S110" i="3"/>
  <c r="Q111" i="3"/>
  <c r="L110" i="3"/>
  <c r="N110" i="3" s="1"/>
  <c r="O110" i="3"/>
  <c r="Q195" i="3"/>
  <c r="S195" i="3"/>
  <c r="O195" i="3"/>
  <c r="L196" i="3"/>
  <c r="N196" i="3" s="1"/>
  <c r="R195" i="3"/>
  <c r="L111" i="3"/>
  <c r="N111" i="3" s="1"/>
  <c r="Q196" i="3"/>
  <c r="T197" i="3"/>
  <c r="S197" i="3" s="1"/>
  <c r="U198" i="3"/>
  <c r="T231" i="3"/>
  <c r="L231" i="3" s="1"/>
  <c r="N231" i="3" s="1"/>
  <c r="U232" i="3"/>
  <c r="O230" i="3"/>
  <c r="S196" i="3"/>
  <c r="R196" i="3"/>
  <c r="O196" i="3"/>
  <c r="L230" i="3"/>
  <c r="N230" i="3" s="1"/>
  <c r="S230" i="3"/>
  <c r="O111" i="3"/>
  <c r="S111" i="3"/>
  <c r="T112" i="3"/>
  <c r="Q112" i="3" s="1"/>
  <c r="U113" i="3"/>
  <c r="O323" i="9" l="1"/>
  <c r="L323" i="9"/>
  <c r="N323" i="9" s="1"/>
  <c r="Q323" i="9"/>
  <c r="T324" i="9"/>
  <c r="U325" i="9"/>
  <c r="Q373" i="3"/>
  <c r="O373" i="3"/>
  <c r="L373" i="3"/>
  <c r="N373" i="3" s="1"/>
  <c r="S151" i="3"/>
  <c r="T152" i="3"/>
  <c r="L152" i="3" s="1"/>
  <c r="N152" i="3" s="1"/>
  <c r="U153" i="3"/>
  <c r="Q151" i="3"/>
  <c r="L151" i="3"/>
  <c r="N151" i="3" s="1"/>
  <c r="Q231" i="3"/>
  <c r="Q197" i="3"/>
  <c r="O231" i="3"/>
  <c r="L197" i="3"/>
  <c r="N197" i="3" s="1"/>
  <c r="S231" i="3"/>
  <c r="R197" i="3"/>
  <c r="T198" i="3"/>
  <c r="R198" i="3" s="1"/>
  <c r="U199" i="3"/>
  <c r="U233" i="3"/>
  <c r="T232" i="3"/>
  <c r="O197" i="3"/>
  <c r="L112" i="3"/>
  <c r="N112" i="3" s="1"/>
  <c r="O112" i="3"/>
  <c r="S112" i="3"/>
  <c r="T113" i="3"/>
  <c r="Q113" i="3" s="1"/>
  <c r="U114" i="3"/>
  <c r="S324" i="9" l="1"/>
  <c r="O324" i="9"/>
  <c r="U326" i="9"/>
  <c r="T325" i="9"/>
  <c r="L325" i="9" s="1"/>
  <c r="N325" i="9" s="1"/>
  <c r="Q324" i="9"/>
  <c r="L324" i="9"/>
  <c r="N324" i="9" s="1"/>
  <c r="O152" i="3"/>
  <c r="Q152" i="3"/>
  <c r="T153" i="3"/>
  <c r="O153" i="3" s="1"/>
  <c r="U154" i="3"/>
  <c r="S152" i="3"/>
  <c r="Q198" i="3"/>
  <c r="S198" i="3"/>
  <c r="L198" i="3"/>
  <c r="N198" i="3" s="1"/>
  <c r="T199" i="3"/>
  <c r="Q199" i="3" s="1"/>
  <c r="U200" i="3"/>
  <c r="S232" i="3"/>
  <c r="L232" i="3"/>
  <c r="N232" i="3" s="1"/>
  <c r="U234" i="3"/>
  <c r="T233" i="3"/>
  <c r="O233" i="3" s="1"/>
  <c r="O198" i="3"/>
  <c r="O232" i="3"/>
  <c r="Q232" i="3"/>
  <c r="L113" i="3"/>
  <c r="N113" i="3" s="1"/>
  <c r="S113" i="3"/>
  <c r="O113" i="3"/>
  <c r="T114" i="3"/>
  <c r="Q114" i="3" s="1"/>
  <c r="U115" i="3"/>
  <c r="O325" i="9" l="1"/>
  <c r="Q325" i="9"/>
  <c r="U327" i="9"/>
  <c r="T326" i="9"/>
  <c r="S326" i="9" s="1"/>
  <c r="S325" i="9"/>
  <c r="S153" i="3"/>
  <c r="Q153" i="3"/>
  <c r="U155" i="3"/>
  <c r="T154" i="3"/>
  <c r="L153" i="3"/>
  <c r="N153" i="3" s="1"/>
  <c r="L114" i="3"/>
  <c r="N114" i="3" s="1"/>
  <c r="L199" i="3"/>
  <c r="N199" i="3" s="1"/>
  <c r="O199" i="3"/>
  <c r="S199" i="3"/>
  <c r="U235" i="3"/>
  <c r="T234" i="3"/>
  <c r="L234" i="3" s="1"/>
  <c r="N234" i="3" s="1"/>
  <c r="R199" i="3"/>
  <c r="L233" i="3"/>
  <c r="N233" i="3" s="1"/>
  <c r="T200" i="3"/>
  <c r="O200" i="3" s="1"/>
  <c r="U201" i="3"/>
  <c r="S233" i="3"/>
  <c r="Q233" i="3"/>
  <c r="O114" i="3"/>
  <c r="S114" i="3"/>
  <c r="T115" i="3"/>
  <c r="Q115" i="3" s="1"/>
  <c r="U116" i="3"/>
  <c r="O326" i="9" l="1"/>
  <c r="U328" i="9"/>
  <c r="T327" i="9"/>
  <c r="L327" i="9" s="1"/>
  <c r="N327" i="9" s="1"/>
  <c r="L326" i="9"/>
  <c r="N326" i="9" s="1"/>
  <c r="Q326" i="9"/>
  <c r="L154" i="3"/>
  <c r="N154" i="3" s="1"/>
  <c r="S154" i="3"/>
  <c r="Q154" i="3"/>
  <c r="T155" i="3"/>
  <c r="O155" i="3" s="1"/>
  <c r="U156" i="3"/>
  <c r="O154" i="3"/>
  <c r="S115" i="3"/>
  <c r="S234" i="3"/>
  <c r="Q234" i="3"/>
  <c r="R200" i="3"/>
  <c r="Q200" i="3"/>
  <c r="S200" i="3"/>
  <c r="L200" i="3"/>
  <c r="N200" i="3" s="1"/>
  <c r="O234" i="3"/>
  <c r="U202" i="3"/>
  <c r="T201" i="3"/>
  <c r="O201" i="3" s="1"/>
  <c r="U236" i="3"/>
  <c r="T235" i="3"/>
  <c r="O235" i="3" s="1"/>
  <c r="L115" i="3"/>
  <c r="N115" i="3" s="1"/>
  <c r="O115" i="3"/>
  <c r="T116" i="3"/>
  <c r="Q116" i="3" s="1"/>
  <c r="U117" i="3"/>
  <c r="Q327" i="9" l="1"/>
  <c r="O327" i="9"/>
  <c r="U329" i="9"/>
  <c r="T328" i="9"/>
  <c r="L328" i="9" s="1"/>
  <c r="N328" i="9" s="1"/>
  <c r="S327" i="9"/>
  <c r="U157" i="3"/>
  <c r="T156" i="3"/>
  <c r="S156" i="3" s="1"/>
  <c r="S155" i="3"/>
  <c r="L155" i="3"/>
  <c r="N155" i="3" s="1"/>
  <c r="Q155" i="3"/>
  <c r="U237" i="3"/>
  <c r="T236" i="3"/>
  <c r="L236" i="3" s="1"/>
  <c r="N236" i="3" s="1"/>
  <c r="U203" i="3"/>
  <c r="T202" i="3"/>
  <c r="Q202" i="3" s="1"/>
  <c r="S235" i="3"/>
  <c r="L201" i="3"/>
  <c r="N201" i="3" s="1"/>
  <c r="S201" i="3"/>
  <c r="L235" i="3"/>
  <c r="N235" i="3" s="1"/>
  <c r="Q235" i="3"/>
  <c r="Q201" i="3"/>
  <c r="R201" i="3"/>
  <c r="L116" i="3"/>
  <c r="N116" i="3" s="1"/>
  <c r="O116" i="3"/>
  <c r="S116" i="3"/>
  <c r="T117" i="3"/>
  <c r="Q117" i="3" s="1"/>
  <c r="U118" i="3"/>
  <c r="S328" i="9" l="1"/>
  <c r="O328" i="9"/>
  <c r="Q328" i="9"/>
  <c r="U330" i="9"/>
  <c r="T329" i="9"/>
  <c r="O329" i="9" s="1"/>
  <c r="O156" i="3"/>
  <c r="T157" i="3"/>
  <c r="S157" i="3" s="1"/>
  <c r="U158" i="3"/>
  <c r="Q156" i="3"/>
  <c r="L156" i="3"/>
  <c r="N156" i="3" s="1"/>
  <c r="S202" i="3"/>
  <c r="O202" i="3"/>
  <c r="Q236" i="3"/>
  <c r="L202" i="3"/>
  <c r="N202" i="3" s="1"/>
  <c r="S236" i="3"/>
  <c r="R202" i="3"/>
  <c r="O236" i="3"/>
  <c r="U204" i="3"/>
  <c r="T203" i="3"/>
  <c r="R203" i="3" s="1"/>
  <c r="U238" i="3"/>
  <c r="T237" i="3"/>
  <c r="O237" i="3" s="1"/>
  <c r="L117" i="3"/>
  <c r="N117" i="3" s="1"/>
  <c r="S117" i="3"/>
  <c r="O117" i="3"/>
  <c r="T118" i="3"/>
  <c r="Q118" i="3" s="1"/>
  <c r="U119" i="3"/>
  <c r="Q329" i="9" l="1"/>
  <c r="L329" i="9"/>
  <c r="N329" i="9" s="1"/>
  <c r="S329" i="9"/>
  <c r="U331" i="9"/>
  <c r="T330" i="9"/>
  <c r="L157" i="3"/>
  <c r="N157" i="3" s="1"/>
  <c r="U159" i="3"/>
  <c r="T158" i="3"/>
  <c r="Q158" i="3" s="1"/>
  <c r="Q157" i="3"/>
  <c r="O157" i="3"/>
  <c r="S237" i="3"/>
  <c r="L237" i="3"/>
  <c r="N237" i="3" s="1"/>
  <c r="Q237" i="3"/>
  <c r="O203" i="3"/>
  <c r="S203" i="3"/>
  <c r="U239" i="3"/>
  <c r="T238" i="3"/>
  <c r="L238" i="3" s="1"/>
  <c r="N238" i="3" s="1"/>
  <c r="T204" i="3"/>
  <c r="U205" i="3"/>
  <c r="Q203" i="3"/>
  <c r="L203" i="3"/>
  <c r="N203" i="3" s="1"/>
  <c r="L118" i="3"/>
  <c r="N118" i="3" s="1"/>
  <c r="S118" i="3"/>
  <c r="O118" i="3"/>
  <c r="T119" i="3"/>
  <c r="Q119" i="3" s="1"/>
  <c r="U120" i="3"/>
  <c r="U332" i="9" l="1"/>
  <c r="T331" i="9"/>
  <c r="S330" i="9"/>
  <c r="O330" i="9"/>
  <c r="L330" i="9"/>
  <c r="N330" i="9" s="1"/>
  <c r="Q330" i="9"/>
  <c r="S158" i="3"/>
  <c r="T159" i="3"/>
  <c r="S159" i="3" s="1"/>
  <c r="U160" i="3"/>
  <c r="L158" i="3"/>
  <c r="N158" i="3" s="1"/>
  <c r="O158" i="3"/>
  <c r="L204" i="3"/>
  <c r="N204" i="3" s="1"/>
  <c r="T239" i="3"/>
  <c r="S239" i="3" s="1"/>
  <c r="U240" i="3"/>
  <c r="S204" i="3"/>
  <c r="Q204" i="3"/>
  <c r="S238" i="3"/>
  <c r="T205" i="3"/>
  <c r="U206" i="3"/>
  <c r="Q238" i="3"/>
  <c r="Q239" i="3"/>
  <c r="R204" i="3"/>
  <c r="O204" i="3"/>
  <c r="O238" i="3"/>
  <c r="L119" i="3"/>
  <c r="N119" i="3" s="1"/>
  <c r="O119" i="3"/>
  <c r="S119" i="3"/>
  <c r="T120" i="3"/>
  <c r="Q120" i="3" s="1"/>
  <c r="U121" i="3"/>
  <c r="L331" i="9" l="1"/>
  <c r="N331" i="9" s="1"/>
  <c r="U333" i="9"/>
  <c r="T332" i="9"/>
  <c r="L332" i="9" s="1"/>
  <c r="N332" i="9" s="1"/>
  <c r="S331" i="9"/>
  <c r="O331" i="9"/>
  <c r="Q331" i="9"/>
  <c r="L159" i="3"/>
  <c r="N159" i="3" s="1"/>
  <c r="T160" i="3"/>
  <c r="L160" i="3" s="1"/>
  <c r="N160" i="3" s="1"/>
  <c r="U161" i="3"/>
  <c r="O159" i="3"/>
  <c r="Q159" i="3"/>
  <c r="L239" i="3"/>
  <c r="N239" i="3" s="1"/>
  <c r="L120" i="3"/>
  <c r="N120" i="3" s="1"/>
  <c r="U241" i="3"/>
  <c r="T240" i="3"/>
  <c r="S240" i="3" s="1"/>
  <c r="O205" i="3"/>
  <c r="L205" i="3"/>
  <c r="N205" i="3" s="1"/>
  <c r="S205" i="3"/>
  <c r="T206" i="3"/>
  <c r="R206" i="3" s="1"/>
  <c r="U207" i="3"/>
  <c r="O239" i="3"/>
  <c r="Q205" i="3"/>
  <c r="R205" i="3"/>
  <c r="O120" i="3"/>
  <c r="S120" i="3"/>
  <c r="T121" i="3"/>
  <c r="Q121" i="3" s="1"/>
  <c r="U122" i="3"/>
  <c r="S332" i="9" l="1"/>
  <c r="O332" i="9"/>
  <c r="Q332" i="9"/>
  <c r="U334" i="9"/>
  <c r="T333" i="9"/>
  <c r="S333" i="9" s="1"/>
  <c r="Q160" i="3"/>
  <c r="U162" i="3"/>
  <c r="T161" i="3"/>
  <c r="Q161" i="3" s="1"/>
  <c r="S160" i="3"/>
  <c r="O160" i="3"/>
  <c r="L121" i="3"/>
  <c r="N121" i="3" s="1"/>
  <c r="Q240" i="3"/>
  <c r="O240" i="3"/>
  <c r="U208" i="3"/>
  <c r="T207" i="3"/>
  <c r="Q207" i="3" s="1"/>
  <c r="L240" i="3"/>
  <c r="N240" i="3" s="1"/>
  <c r="Q206" i="3"/>
  <c r="O206" i="3"/>
  <c r="R207" i="3"/>
  <c r="T241" i="3"/>
  <c r="S241" i="3" s="1"/>
  <c r="U242" i="3"/>
  <c r="L206" i="3"/>
  <c r="N206" i="3" s="1"/>
  <c r="S206" i="3"/>
  <c r="O121" i="3"/>
  <c r="S121" i="3"/>
  <c r="T122" i="3"/>
  <c r="O122" i="3" s="1"/>
  <c r="U123" i="3"/>
  <c r="O333" i="9" l="1"/>
  <c r="Q333" i="9"/>
  <c r="U335" i="9"/>
  <c r="T334" i="9"/>
  <c r="S334" i="9" s="1"/>
  <c r="L333" i="9"/>
  <c r="N333" i="9" s="1"/>
  <c r="L161" i="3"/>
  <c r="N161" i="3" s="1"/>
  <c r="T162" i="3"/>
  <c r="O162" i="3" s="1"/>
  <c r="U163" i="3"/>
  <c r="S161" i="3"/>
  <c r="O161" i="3"/>
  <c r="Q122" i="3"/>
  <c r="S207" i="3"/>
  <c r="O207" i="3"/>
  <c r="U243" i="3"/>
  <c r="T242" i="3"/>
  <c r="O242" i="3" s="1"/>
  <c r="L207" i="3"/>
  <c r="N207" i="3" s="1"/>
  <c r="Q241" i="3"/>
  <c r="L241" i="3"/>
  <c r="N241" i="3" s="1"/>
  <c r="O241" i="3"/>
  <c r="T208" i="3"/>
  <c r="S208" i="3" s="1"/>
  <c r="U209" i="3"/>
  <c r="S122" i="3"/>
  <c r="L122" i="3"/>
  <c r="N122" i="3" s="1"/>
  <c r="T123" i="3"/>
  <c r="S123" i="3" s="1"/>
  <c r="U124" i="3"/>
  <c r="O334" i="9" l="1"/>
  <c r="U336" i="9"/>
  <c r="T335" i="9"/>
  <c r="S335" i="9" s="1"/>
  <c r="L334" i="9"/>
  <c r="N334" i="9" s="1"/>
  <c r="Q334" i="9"/>
  <c r="L162" i="3"/>
  <c r="N162" i="3" s="1"/>
  <c r="Q162" i="3"/>
  <c r="S162" i="3"/>
  <c r="U164" i="3"/>
  <c r="T163" i="3"/>
  <c r="L242" i="3"/>
  <c r="N242" i="3" s="1"/>
  <c r="S242" i="3"/>
  <c r="T209" i="3"/>
  <c r="Q209" i="3" s="1"/>
  <c r="U210" i="3"/>
  <c r="Q208" i="3"/>
  <c r="Q242" i="3"/>
  <c r="R208" i="3"/>
  <c r="O208" i="3"/>
  <c r="L208" i="3"/>
  <c r="N208" i="3" s="1"/>
  <c r="T243" i="3"/>
  <c r="U244" i="3"/>
  <c r="L123" i="3"/>
  <c r="N123" i="3" s="1"/>
  <c r="Q123" i="3"/>
  <c r="O123" i="3"/>
  <c r="T124" i="3"/>
  <c r="Q124" i="3" s="1"/>
  <c r="U125" i="3"/>
  <c r="O335" i="9" l="1"/>
  <c r="Q335" i="9"/>
  <c r="U337" i="9"/>
  <c r="T336" i="9"/>
  <c r="S336" i="9" s="1"/>
  <c r="L335" i="9"/>
  <c r="N335" i="9" s="1"/>
  <c r="O163" i="3"/>
  <c r="U165" i="3"/>
  <c r="T164" i="3"/>
  <c r="L163" i="3"/>
  <c r="N163" i="3" s="1"/>
  <c r="Q163" i="3"/>
  <c r="S163" i="3"/>
  <c r="S124" i="3"/>
  <c r="S209" i="3"/>
  <c r="L209" i="3"/>
  <c r="N209" i="3" s="1"/>
  <c r="R209" i="3"/>
  <c r="O243" i="3"/>
  <c r="Q243" i="3"/>
  <c r="U211" i="3"/>
  <c r="T210" i="3"/>
  <c r="Q210" i="3" s="1"/>
  <c r="T244" i="3"/>
  <c r="U245" i="3"/>
  <c r="L243" i="3"/>
  <c r="N243" i="3" s="1"/>
  <c r="S243" i="3"/>
  <c r="O209" i="3"/>
  <c r="O124" i="3"/>
  <c r="T125" i="3"/>
  <c r="O125" i="3" s="1"/>
  <c r="U126" i="3"/>
  <c r="L124" i="3"/>
  <c r="N124" i="3" s="1"/>
  <c r="L336" i="9" l="1"/>
  <c r="N336" i="9" s="1"/>
  <c r="O336" i="9"/>
  <c r="U338" i="9"/>
  <c r="T337" i="9"/>
  <c r="Q336" i="9"/>
  <c r="S164" i="3"/>
  <c r="T165" i="3"/>
  <c r="Q165" i="3" s="1"/>
  <c r="U166" i="3"/>
  <c r="L164" i="3"/>
  <c r="N164" i="3" s="1"/>
  <c r="Q164" i="3"/>
  <c r="O164" i="3"/>
  <c r="R210" i="3"/>
  <c r="S210" i="3"/>
  <c r="O210" i="3"/>
  <c r="Q244" i="3"/>
  <c r="U212" i="3"/>
  <c r="T211" i="3"/>
  <c r="L211" i="3" s="1"/>
  <c r="N211" i="3" s="1"/>
  <c r="O244" i="3"/>
  <c r="U246" i="3"/>
  <c r="T245" i="3"/>
  <c r="L245" i="3" s="1"/>
  <c r="N245" i="3" s="1"/>
  <c r="L210" i="3"/>
  <c r="N210" i="3" s="1"/>
  <c r="S244" i="3"/>
  <c r="L244" i="3"/>
  <c r="N244" i="3" s="1"/>
  <c r="L125" i="3"/>
  <c r="N125" i="3" s="1"/>
  <c r="Q125" i="3"/>
  <c r="S125" i="3"/>
  <c r="T126" i="3"/>
  <c r="O126" i="3" s="1"/>
  <c r="U127" i="3"/>
  <c r="S337" i="9" l="1"/>
  <c r="U339" i="9"/>
  <c r="T338" i="9"/>
  <c r="O338" i="9" s="1"/>
  <c r="O337" i="9"/>
  <c r="Q337" i="9"/>
  <c r="L337" i="9"/>
  <c r="N337" i="9" s="1"/>
  <c r="O165" i="3"/>
  <c r="T166" i="3"/>
  <c r="Q166" i="3" s="1"/>
  <c r="U167" i="3"/>
  <c r="L165" i="3"/>
  <c r="N165" i="3" s="1"/>
  <c r="S165" i="3"/>
  <c r="Q126" i="3"/>
  <c r="S211" i="3"/>
  <c r="R211" i="3"/>
  <c r="O211" i="3"/>
  <c r="T246" i="3"/>
  <c r="S246" i="3" s="1"/>
  <c r="U247" i="3"/>
  <c r="Q211" i="3"/>
  <c r="Q245" i="3"/>
  <c r="S245" i="3"/>
  <c r="U213" i="3"/>
  <c r="T212" i="3"/>
  <c r="O245" i="3"/>
  <c r="L126" i="3"/>
  <c r="N126" i="3" s="1"/>
  <c r="S126" i="3"/>
  <c r="U128" i="3"/>
  <c r="T127" i="3"/>
  <c r="S127" i="3" s="1"/>
  <c r="S338" i="9" l="1"/>
  <c r="L338" i="9"/>
  <c r="N338" i="9" s="1"/>
  <c r="Q338" i="9"/>
  <c r="U340" i="9"/>
  <c r="T339" i="9"/>
  <c r="O166" i="3"/>
  <c r="S166" i="3"/>
  <c r="T167" i="3"/>
  <c r="L167" i="3" s="1"/>
  <c r="N167" i="3" s="1"/>
  <c r="U168" i="3"/>
  <c r="L166" i="3"/>
  <c r="N166" i="3" s="1"/>
  <c r="L246" i="3"/>
  <c r="N246" i="3" s="1"/>
  <c r="Q246" i="3"/>
  <c r="L212" i="3"/>
  <c r="N212" i="3" s="1"/>
  <c r="Q212" i="3"/>
  <c r="O212" i="3"/>
  <c r="T247" i="3"/>
  <c r="O247" i="3" s="1"/>
  <c r="U248" i="3"/>
  <c r="T213" i="3"/>
  <c r="O213" i="3" s="1"/>
  <c r="U214" i="3"/>
  <c r="R212" i="3"/>
  <c r="S212" i="3"/>
  <c r="O246" i="3"/>
  <c r="Q127" i="3"/>
  <c r="L127" i="3"/>
  <c r="N127" i="3" s="1"/>
  <c r="O127" i="3"/>
  <c r="U129" i="3"/>
  <c r="T128" i="3"/>
  <c r="S339" i="9" l="1"/>
  <c r="U341" i="9"/>
  <c r="T340" i="9"/>
  <c r="O340" i="9" s="1"/>
  <c r="O339" i="9"/>
  <c r="Q339" i="9"/>
  <c r="L339" i="9"/>
  <c r="N339" i="9" s="1"/>
  <c r="O167" i="3"/>
  <c r="U169" i="3"/>
  <c r="T168" i="3"/>
  <c r="O168" i="3" s="1"/>
  <c r="Q167" i="3"/>
  <c r="S167" i="3"/>
  <c r="S247" i="3"/>
  <c r="L247" i="3"/>
  <c r="N247" i="3" s="1"/>
  <c r="Q247" i="3"/>
  <c r="U215" i="3"/>
  <c r="T214" i="3"/>
  <c r="O214" i="3" s="1"/>
  <c r="S213" i="3"/>
  <c r="T248" i="3"/>
  <c r="U249" i="3"/>
  <c r="R213" i="3"/>
  <c r="Q213" i="3"/>
  <c r="L213" i="3"/>
  <c r="N213" i="3" s="1"/>
  <c r="S128" i="3"/>
  <c r="O128" i="3"/>
  <c r="U130" i="3"/>
  <c r="T130" i="3" s="1"/>
  <c r="T129" i="3"/>
  <c r="S129" i="3" s="1"/>
  <c r="Q128" i="3"/>
  <c r="L128" i="3"/>
  <c r="N128" i="3" s="1"/>
  <c r="L340" i="9" l="1"/>
  <c r="N340" i="9" s="1"/>
  <c r="S340" i="9"/>
  <c r="Q340" i="9"/>
  <c r="U342" i="9"/>
  <c r="T341" i="9"/>
  <c r="S341" i="9" s="1"/>
  <c r="L168" i="3"/>
  <c r="N168" i="3" s="1"/>
  <c r="S168" i="3"/>
  <c r="U170" i="3"/>
  <c r="T169" i="3"/>
  <c r="L169" i="3" s="1"/>
  <c r="N169" i="3" s="1"/>
  <c r="Q168" i="3"/>
  <c r="L214" i="3"/>
  <c r="N214" i="3" s="1"/>
  <c r="R214" i="3"/>
  <c r="S214" i="3"/>
  <c r="L248" i="3"/>
  <c r="N248" i="3" s="1"/>
  <c r="O248" i="3"/>
  <c r="S248" i="3"/>
  <c r="U216" i="3"/>
  <c r="T215" i="3"/>
  <c r="S215" i="3" s="1"/>
  <c r="T249" i="3"/>
  <c r="U250" i="3"/>
  <c r="Q248" i="3"/>
  <c r="Q214" i="3"/>
  <c r="O129" i="3"/>
  <c r="O130" i="3"/>
  <c r="Q130" i="3"/>
  <c r="L130" i="3"/>
  <c r="N130" i="3" s="1"/>
  <c r="S130" i="3"/>
  <c r="S131" i="3" s="1"/>
  <c r="L129" i="3"/>
  <c r="N129" i="3" s="1"/>
  <c r="Q129" i="3"/>
  <c r="O341" i="9" l="1"/>
  <c r="Q341" i="9"/>
  <c r="U343" i="9"/>
  <c r="T342" i="9"/>
  <c r="S342" i="9" s="1"/>
  <c r="L341" i="9"/>
  <c r="N341" i="9" s="1"/>
  <c r="S169" i="3"/>
  <c r="Q169" i="3"/>
  <c r="T170" i="3"/>
  <c r="O170" i="3" s="1"/>
  <c r="U171" i="3"/>
  <c r="O169" i="3"/>
  <c r="R215" i="3"/>
  <c r="L215" i="3"/>
  <c r="N215" i="3" s="1"/>
  <c r="Q215" i="3"/>
  <c r="O215" i="3"/>
  <c r="S249" i="3"/>
  <c r="Q249" i="3"/>
  <c r="U251" i="3"/>
  <c r="T250" i="3"/>
  <c r="T216" i="3"/>
  <c r="Q216" i="3" s="1"/>
  <c r="U217" i="3"/>
  <c r="O249" i="3"/>
  <c r="L249" i="3"/>
  <c r="N249" i="3" s="1"/>
  <c r="O131" i="3"/>
  <c r="Q131" i="3"/>
  <c r="N131" i="3"/>
  <c r="I132" i="3" s="1"/>
  <c r="O342" i="9" l="1"/>
  <c r="U344" i="9"/>
  <c r="T344" i="9" s="1"/>
  <c r="T343" i="9"/>
  <c r="S343" i="9" s="1"/>
  <c r="L342" i="9"/>
  <c r="N342" i="9" s="1"/>
  <c r="Q342" i="9"/>
  <c r="L170" i="3"/>
  <c r="N170" i="3" s="1"/>
  <c r="Q170" i="3"/>
  <c r="T171" i="3"/>
  <c r="L171" i="3" s="1"/>
  <c r="N171" i="3" s="1"/>
  <c r="U172" i="3"/>
  <c r="S170" i="3"/>
  <c r="I133" i="3"/>
  <c r="P100" i="3" s="1"/>
  <c r="I134" i="3"/>
  <c r="G13" i="11" s="1"/>
  <c r="F28" i="11" s="1"/>
  <c r="G11" i="11"/>
  <c r="E410" i="3"/>
  <c r="T217" i="3"/>
  <c r="L217" i="3" s="1"/>
  <c r="N217" i="3" s="1"/>
  <c r="U218" i="3"/>
  <c r="S216" i="3"/>
  <c r="O250" i="3"/>
  <c r="Q250" i="3"/>
  <c r="R216" i="3"/>
  <c r="U252" i="3"/>
  <c r="T251" i="3"/>
  <c r="O216" i="3"/>
  <c r="L216" i="3"/>
  <c r="N216" i="3" s="1"/>
  <c r="L250" i="3"/>
  <c r="N250" i="3" s="1"/>
  <c r="S250" i="3"/>
  <c r="Q344" i="9" l="1"/>
  <c r="O344" i="9"/>
  <c r="S344" i="9"/>
  <c r="S345" i="9" s="1"/>
  <c r="L344" i="9"/>
  <c r="N344" i="9" s="1"/>
  <c r="O343" i="9"/>
  <c r="Q343" i="9"/>
  <c r="L343" i="9"/>
  <c r="N343" i="9" s="1"/>
  <c r="O171" i="3"/>
  <c r="T172" i="3"/>
  <c r="L172" i="3" s="1"/>
  <c r="N172" i="3" s="1"/>
  <c r="U173" i="3"/>
  <c r="T173" i="3" s="1"/>
  <c r="Q171" i="3"/>
  <c r="S171" i="3"/>
  <c r="I138" i="3"/>
  <c r="I139" i="3"/>
  <c r="I308" i="3"/>
  <c r="S217" i="3"/>
  <c r="F410" i="3"/>
  <c r="G410" i="3" s="1"/>
  <c r="R217" i="3"/>
  <c r="Q217" i="3"/>
  <c r="L251" i="3"/>
  <c r="N251" i="3" s="1"/>
  <c r="O251" i="3"/>
  <c r="T218" i="3"/>
  <c r="L218" i="3" s="1"/>
  <c r="N218" i="3" s="1"/>
  <c r="U219" i="3"/>
  <c r="T219" i="3" s="1"/>
  <c r="T252" i="3"/>
  <c r="L252" i="3" s="1"/>
  <c r="N252" i="3" s="1"/>
  <c r="U253" i="3"/>
  <c r="S251" i="3"/>
  <c r="Q251" i="3"/>
  <c r="O217" i="3"/>
  <c r="P106" i="3"/>
  <c r="P110" i="3"/>
  <c r="P102" i="3"/>
  <c r="P105" i="3"/>
  <c r="P109" i="3"/>
  <c r="P113" i="3"/>
  <c r="P104" i="3"/>
  <c r="P108" i="3"/>
  <c r="P112" i="3"/>
  <c r="P103" i="3"/>
  <c r="P107" i="3"/>
  <c r="P111" i="3"/>
  <c r="P115" i="3"/>
  <c r="P114" i="3"/>
  <c r="P116" i="3"/>
  <c r="P117" i="3"/>
  <c r="P118" i="3"/>
  <c r="P119" i="3"/>
  <c r="P120" i="3"/>
  <c r="P121" i="3"/>
  <c r="P122" i="3"/>
  <c r="P123" i="3"/>
  <c r="P124" i="3"/>
  <c r="P125" i="3"/>
  <c r="P126" i="3"/>
  <c r="P127" i="3"/>
  <c r="P128" i="3"/>
  <c r="P129" i="3"/>
  <c r="P130" i="3"/>
  <c r="R102" i="3"/>
  <c r="R106" i="3"/>
  <c r="R110" i="3"/>
  <c r="R103" i="3"/>
  <c r="R107" i="3"/>
  <c r="R111" i="3"/>
  <c r="R104" i="3"/>
  <c r="R108" i="3"/>
  <c r="R112" i="3"/>
  <c r="R105" i="3"/>
  <c r="R109" i="3"/>
  <c r="R113" i="3"/>
  <c r="R115" i="3"/>
  <c r="R114" i="3"/>
  <c r="R116" i="3"/>
  <c r="R117" i="3"/>
  <c r="R118" i="3"/>
  <c r="R119" i="3"/>
  <c r="R120" i="3"/>
  <c r="R121" i="3"/>
  <c r="R122" i="3"/>
  <c r="R123" i="3"/>
  <c r="R124" i="3"/>
  <c r="R125" i="3"/>
  <c r="R126" i="3"/>
  <c r="R127" i="3"/>
  <c r="R128" i="3"/>
  <c r="R130" i="3"/>
  <c r="R129" i="3"/>
  <c r="Q345" i="9" l="1"/>
  <c r="N345" i="9"/>
  <c r="G346" i="9" s="1"/>
  <c r="O345" i="9"/>
  <c r="Q172" i="3"/>
  <c r="S172" i="3"/>
  <c r="S173" i="3"/>
  <c r="Q173" i="3"/>
  <c r="L173" i="3"/>
  <c r="N173" i="3" s="1"/>
  <c r="N174" i="3" s="1"/>
  <c r="I175" i="3" s="1"/>
  <c r="O173" i="3"/>
  <c r="O172" i="3"/>
  <c r="Q218" i="3"/>
  <c r="R218" i="3"/>
  <c r="O218" i="3"/>
  <c r="U254" i="3"/>
  <c r="T253" i="3"/>
  <c r="S253" i="3" s="1"/>
  <c r="S252" i="3"/>
  <c r="Q252" i="3"/>
  <c r="S218" i="3"/>
  <c r="Q219" i="3"/>
  <c r="S219" i="3"/>
  <c r="R219" i="3"/>
  <c r="L219" i="3"/>
  <c r="N219" i="3" s="1"/>
  <c r="N220" i="3" s="1"/>
  <c r="I221" i="3" s="1"/>
  <c r="I222" i="3" s="1"/>
  <c r="Q5" i="5" s="1"/>
  <c r="O219" i="3"/>
  <c r="O252" i="3"/>
  <c r="P131" i="3"/>
  <c r="I136" i="3" s="1"/>
  <c r="R131" i="3"/>
  <c r="I135" i="3" s="1"/>
  <c r="Q6" i="5" l="1"/>
  <c r="R5" i="5"/>
  <c r="G358" i="9"/>
  <c r="G360" i="9" s="1"/>
  <c r="G362" i="9" s="1"/>
  <c r="G348" i="9"/>
  <c r="R316" i="9" s="1"/>
  <c r="G347" i="9"/>
  <c r="P314" i="9" s="1"/>
  <c r="P316" i="9" s="1"/>
  <c r="D49" i="9"/>
  <c r="I290" i="9"/>
  <c r="K293" i="9" s="1"/>
  <c r="O174" i="3"/>
  <c r="I176" i="3" s="1"/>
  <c r="P143" i="3" s="1"/>
  <c r="Q174" i="3"/>
  <c r="I177" i="3" s="1"/>
  <c r="R173" i="3" s="1"/>
  <c r="S174" i="3"/>
  <c r="I141" i="3"/>
  <c r="G14" i="11" s="1"/>
  <c r="G16" i="11" s="1"/>
  <c r="I140" i="3"/>
  <c r="H410" i="3"/>
  <c r="G12" i="11"/>
  <c r="S220" i="3"/>
  <c r="R220" i="3"/>
  <c r="Q220" i="3"/>
  <c r="Q253" i="3"/>
  <c r="O220" i="3"/>
  <c r="L253" i="3"/>
  <c r="N253" i="3" s="1"/>
  <c r="P189" i="3"/>
  <c r="O253" i="3"/>
  <c r="T254" i="3"/>
  <c r="Q254" i="3" s="1"/>
  <c r="U255" i="3"/>
  <c r="R6" i="5" l="1"/>
  <c r="Q7" i="5"/>
  <c r="I368" i="9"/>
  <c r="I369" i="9" s="1"/>
  <c r="I373" i="9" s="1"/>
  <c r="L375" i="9" s="1"/>
  <c r="I370" i="9"/>
  <c r="I376" i="9" s="1"/>
  <c r="R344" i="9"/>
  <c r="R332" i="9"/>
  <c r="G352" i="9"/>
  <c r="R341" i="9"/>
  <c r="G353" i="9"/>
  <c r="R333" i="9"/>
  <c r="R340" i="9"/>
  <c r="R328" i="9"/>
  <c r="R318" i="9"/>
  <c r="R336" i="9"/>
  <c r="R325" i="9"/>
  <c r="R324" i="9"/>
  <c r="R337" i="9"/>
  <c r="R329" i="9"/>
  <c r="R321" i="9"/>
  <c r="G354" i="9"/>
  <c r="P323" i="9"/>
  <c r="P334" i="9"/>
  <c r="P342" i="9"/>
  <c r="P331" i="9"/>
  <c r="P322" i="9"/>
  <c r="R343" i="9"/>
  <c r="R339" i="9"/>
  <c r="R335" i="9"/>
  <c r="R331" i="9"/>
  <c r="R327" i="9"/>
  <c r="R323" i="9"/>
  <c r="R320" i="9"/>
  <c r="R317" i="9"/>
  <c r="P339" i="9"/>
  <c r="P330" i="9"/>
  <c r="P318" i="9"/>
  <c r="R342" i="9"/>
  <c r="R338" i="9"/>
  <c r="R334" i="9"/>
  <c r="R330" i="9"/>
  <c r="R326" i="9"/>
  <c r="R322" i="9"/>
  <c r="R319" i="9"/>
  <c r="P338" i="9"/>
  <c r="P326" i="9"/>
  <c r="P343" i="9"/>
  <c r="P335" i="9"/>
  <c r="P327" i="9"/>
  <c r="P319" i="9"/>
  <c r="P341" i="9"/>
  <c r="P337" i="9"/>
  <c r="P333" i="9"/>
  <c r="P329" i="9"/>
  <c r="P325" i="9"/>
  <c r="P321" i="9"/>
  <c r="P317" i="9"/>
  <c r="P344" i="9"/>
  <c r="P340" i="9"/>
  <c r="P336" i="9"/>
  <c r="P332" i="9"/>
  <c r="P328" i="9"/>
  <c r="P324" i="9"/>
  <c r="P320" i="9"/>
  <c r="I182" i="3"/>
  <c r="R161" i="3"/>
  <c r="R150" i="3"/>
  <c r="R166" i="3"/>
  <c r="R169" i="3"/>
  <c r="R153" i="3"/>
  <c r="R158" i="3"/>
  <c r="D232" i="9"/>
  <c r="R170" i="3"/>
  <c r="R162" i="3"/>
  <c r="R154" i="3"/>
  <c r="R146" i="3"/>
  <c r="R165" i="3"/>
  <c r="R157" i="3"/>
  <c r="R149" i="3"/>
  <c r="D51" i="9"/>
  <c r="P145" i="3"/>
  <c r="P159" i="3"/>
  <c r="P163" i="3"/>
  <c r="P155" i="3"/>
  <c r="P171" i="3"/>
  <c r="P151" i="3"/>
  <c r="P167" i="3"/>
  <c r="P147" i="3"/>
  <c r="P172" i="3"/>
  <c r="P168" i="3"/>
  <c r="P164" i="3"/>
  <c r="P160" i="3"/>
  <c r="P156" i="3"/>
  <c r="P152" i="3"/>
  <c r="P148" i="3"/>
  <c r="R171" i="3"/>
  <c r="R167" i="3"/>
  <c r="R163" i="3"/>
  <c r="R159" i="3"/>
  <c r="R155" i="3"/>
  <c r="R151" i="3"/>
  <c r="R147" i="3"/>
  <c r="R145" i="3"/>
  <c r="P173" i="3"/>
  <c r="P169" i="3"/>
  <c r="P165" i="3"/>
  <c r="P161" i="3"/>
  <c r="P157" i="3"/>
  <c r="P153" i="3"/>
  <c r="P149" i="3"/>
  <c r="P146" i="3"/>
  <c r="R172" i="3"/>
  <c r="R168" i="3"/>
  <c r="R164" i="3"/>
  <c r="R160" i="3"/>
  <c r="R156" i="3"/>
  <c r="R152" i="3"/>
  <c r="R148" i="3"/>
  <c r="I181" i="3"/>
  <c r="P170" i="3"/>
  <c r="P166" i="3"/>
  <c r="P162" i="3"/>
  <c r="P158" i="3"/>
  <c r="P154" i="3"/>
  <c r="P150" i="3"/>
  <c r="F22" i="11"/>
  <c r="F25" i="11"/>
  <c r="F19" i="11"/>
  <c r="G19" i="11"/>
  <c r="G22" i="11"/>
  <c r="AA22" i="11" s="1"/>
  <c r="G15" i="11"/>
  <c r="G17" i="11" s="1"/>
  <c r="O254" i="3"/>
  <c r="L254" i="3"/>
  <c r="N254" i="3" s="1"/>
  <c r="S254" i="3"/>
  <c r="P192" i="3"/>
  <c r="P194" i="3"/>
  <c r="P196" i="3"/>
  <c r="P198" i="3"/>
  <c r="P200" i="3"/>
  <c r="P202" i="3"/>
  <c r="P204" i="3"/>
  <c r="P207" i="3"/>
  <c r="P208" i="3"/>
  <c r="P209" i="3"/>
  <c r="P212" i="3"/>
  <c r="P214" i="3"/>
  <c r="P191" i="3"/>
  <c r="P195" i="3"/>
  <c r="P197" i="3"/>
  <c r="P199" i="3"/>
  <c r="P201" i="3"/>
  <c r="P203" i="3"/>
  <c r="P205" i="3"/>
  <c r="P206" i="3"/>
  <c r="P210" i="3"/>
  <c r="P211" i="3"/>
  <c r="P213" i="3"/>
  <c r="P215" i="3"/>
  <c r="P193" i="3"/>
  <c r="P216" i="3"/>
  <c r="P217" i="3"/>
  <c r="P218" i="3"/>
  <c r="P219" i="3"/>
  <c r="T255" i="3"/>
  <c r="U256" i="3"/>
  <c r="T256" i="3" s="1"/>
  <c r="Q8" i="5" l="1"/>
  <c r="R8" i="5" s="1"/>
  <c r="R7" i="5"/>
  <c r="R345" i="9"/>
  <c r="G349" i="9" s="1"/>
  <c r="G356" i="9" s="1"/>
  <c r="P345" i="9"/>
  <c r="G350" i="9" s="1"/>
  <c r="R174" i="3"/>
  <c r="I178" i="3" s="1"/>
  <c r="I184" i="3" s="1"/>
  <c r="P174" i="3"/>
  <c r="I179" i="3" s="1"/>
  <c r="F20" i="11"/>
  <c r="F24" i="11"/>
  <c r="F21" i="11"/>
  <c r="G21" i="11"/>
  <c r="G20" i="11"/>
  <c r="AB20" i="11" s="1"/>
  <c r="AH19" i="11"/>
  <c r="AP19" i="11"/>
  <c r="AC19" i="11"/>
  <c r="AK19" i="11"/>
  <c r="AS19" i="11"/>
  <c r="AB19" i="11"/>
  <c r="AF19" i="11"/>
  <c r="AJ19" i="11"/>
  <c r="AN19" i="11"/>
  <c r="AR19" i="11"/>
  <c r="AA19" i="11"/>
  <c r="AE19" i="11"/>
  <c r="AI19" i="11"/>
  <c r="AM19" i="11"/>
  <c r="AQ19" i="11"/>
  <c r="AU19" i="11"/>
  <c r="O19" i="11"/>
  <c r="S19" i="11"/>
  <c r="W19" i="11"/>
  <c r="K19" i="11"/>
  <c r="N19" i="11"/>
  <c r="R19" i="11"/>
  <c r="V19" i="11"/>
  <c r="Z19" i="11"/>
  <c r="AD19" i="11"/>
  <c r="AL19" i="11"/>
  <c r="AT19" i="11"/>
  <c r="AG19" i="11"/>
  <c r="AO19" i="11"/>
  <c r="Q19" i="11"/>
  <c r="Y19" i="11"/>
  <c r="P19" i="11"/>
  <c r="X19" i="11"/>
  <c r="M19" i="11"/>
  <c r="U19" i="11"/>
  <c r="L19" i="11"/>
  <c r="T19" i="11"/>
  <c r="AN22" i="11"/>
  <c r="AF22" i="11"/>
  <c r="AK22" i="11"/>
  <c r="AC22" i="11"/>
  <c r="AL22" i="11"/>
  <c r="AQ22" i="11"/>
  <c r="AI22" i="11"/>
  <c r="P22" i="11"/>
  <c r="X22" i="11"/>
  <c r="O22" i="11"/>
  <c r="W22" i="11"/>
  <c r="AR22" i="11"/>
  <c r="AJ22" i="11"/>
  <c r="AB22" i="11"/>
  <c r="AO22" i="11"/>
  <c r="AG22" i="11"/>
  <c r="AP22" i="11"/>
  <c r="AH22" i="11"/>
  <c r="AU22" i="11"/>
  <c r="AM22" i="11"/>
  <c r="AE22" i="11"/>
  <c r="N22" i="11"/>
  <c r="R22" i="11"/>
  <c r="V22" i="11"/>
  <c r="Z22" i="11"/>
  <c r="M22" i="11"/>
  <c r="Q22" i="11"/>
  <c r="U22" i="11"/>
  <c r="Y22" i="11"/>
  <c r="AS22" i="11"/>
  <c r="AT22" i="11"/>
  <c r="AD22" i="11"/>
  <c r="L22" i="11"/>
  <c r="T22" i="11"/>
  <c r="K22" i="11"/>
  <c r="S22" i="11"/>
  <c r="Q255" i="3"/>
  <c r="S256" i="3"/>
  <c r="L256" i="3"/>
  <c r="N256" i="3" s="1"/>
  <c r="O256" i="3"/>
  <c r="Q256" i="3"/>
  <c r="Q257" i="3" s="1"/>
  <c r="P220" i="3"/>
  <c r="S255" i="3"/>
  <c r="L255" i="3"/>
  <c r="N255" i="3" s="1"/>
  <c r="O255" i="3"/>
  <c r="G355" i="9" l="1"/>
  <c r="G357" i="9"/>
  <c r="D55" i="9"/>
  <c r="D231" i="9"/>
  <c r="I183" i="3"/>
  <c r="F30" i="11"/>
  <c r="F31" i="11" s="1"/>
  <c r="F32" i="11" s="1"/>
  <c r="G38" i="11" s="1"/>
  <c r="G39" i="11" s="1"/>
  <c r="G40" i="11" s="1"/>
  <c r="G41" i="11" s="1"/>
  <c r="L21" i="11"/>
  <c r="M21" i="11"/>
  <c r="T21" i="11"/>
  <c r="Q21" i="11"/>
  <c r="P21" i="11"/>
  <c r="W21" i="11"/>
  <c r="O21" i="11"/>
  <c r="V21" i="11"/>
  <c r="N21" i="11"/>
  <c r="AC21" i="11"/>
  <c r="AG21" i="11"/>
  <c r="AK21" i="11"/>
  <c r="AO21" i="11"/>
  <c r="AS21" i="11"/>
  <c r="AB21" i="11"/>
  <c r="AF21" i="11"/>
  <c r="AJ21" i="11"/>
  <c r="AN21" i="11"/>
  <c r="AR21" i="11"/>
  <c r="U21" i="11"/>
  <c r="Y21" i="11"/>
  <c r="X21" i="11"/>
  <c r="K21" i="11"/>
  <c r="S21" i="11"/>
  <c r="Z21" i="11"/>
  <c r="R21" i="11"/>
  <c r="AA21" i="11"/>
  <c r="AE21" i="11"/>
  <c r="AI21" i="11"/>
  <c r="AM21" i="11"/>
  <c r="AQ21" i="11"/>
  <c r="AU21" i="11"/>
  <c r="AD21" i="11"/>
  <c r="AH21" i="11"/>
  <c r="AL21" i="11"/>
  <c r="AP21" i="11"/>
  <c r="AT21" i="11"/>
  <c r="AF20" i="11"/>
  <c r="AN20" i="11"/>
  <c r="AC20" i="11"/>
  <c r="AK20" i="11"/>
  <c r="AS20" i="11"/>
  <c r="AD20" i="11"/>
  <c r="AL20" i="11"/>
  <c r="AT20" i="11"/>
  <c r="AE20" i="11"/>
  <c r="AM20" i="11"/>
  <c r="AU20" i="11"/>
  <c r="Q20" i="11"/>
  <c r="AJ20" i="11"/>
  <c r="AR20" i="11"/>
  <c r="AG20" i="11"/>
  <c r="AO20" i="11"/>
  <c r="AH20" i="11"/>
  <c r="AP20" i="11"/>
  <c r="AA20" i="11"/>
  <c r="AI20" i="11"/>
  <c r="AQ20" i="11"/>
  <c r="O20" i="11"/>
  <c r="S20" i="11"/>
  <c r="W20" i="11"/>
  <c r="L20" i="11"/>
  <c r="P20" i="11"/>
  <c r="T20" i="11"/>
  <c r="X20" i="11"/>
  <c r="K20" i="11"/>
  <c r="M20" i="11"/>
  <c r="Y20" i="11"/>
  <c r="R20" i="11"/>
  <c r="Z20" i="11"/>
  <c r="U20" i="11"/>
  <c r="N20" i="11"/>
  <c r="V20" i="11"/>
  <c r="O257" i="3"/>
  <c r="S257" i="3"/>
  <c r="N257" i="3"/>
  <c r="I258" i="3" s="1"/>
  <c r="I259" i="3" s="1"/>
  <c r="D54" i="9" l="1"/>
  <c r="I261" i="3"/>
  <c r="P226" i="3"/>
  <c r="I260" i="3"/>
  <c r="O15" i="5" s="1"/>
  <c r="L15" i="5" l="1"/>
  <c r="B15" i="5"/>
  <c r="P15" i="5"/>
  <c r="Q15" i="5"/>
  <c r="O16" i="5"/>
  <c r="P228" i="3"/>
  <c r="P237" i="3"/>
  <c r="P246" i="3"/>
  <c r="P232" i="3"/>
  <c r="P240" i="3"/>
  <c r="P249" i="3"/>
  <c r="P229" i="3"/>
  <c r="P239" i="3"/>
  <c r="P247" i="3"/>
  <c r="P234" i="3"/>
  <c r="P242" i="3"/>
  <c r="P250" i="3"/>
  <c r="P233" i="3"/>
  <c r="P241" i="3"/>
  <c r="P248" i="3"/>
  <c r="P231" i="3"/>
  <c r="P236" i="3"/>
  <c r="P244" i="3"/>
  <c r="P235" i="3"/>
  <c r="P243" i="3"/>
  <c r="P230" i="3"/>
  <c r="P238" i="3"/>
  <c r="P245" i="3"/>
  <c r="P251" i="3"/>
  <c r="P252" i="3"/>
  <c r="P253" i="3"/>
  <c r="P254" i="3"/>
  <c r="P255" i="3"/>
  <c r="P256" i="3"/>
  <c r="R229" i="3"/>
  <c r="R231" i="3"/>
  <c r="R233" i="3"/>
  <c r="R235" i="3"/>
  <c r="R237" i="3"/>
  <c r="R239" i="3"/>
  <c r="R241" i="3"/>
  <c r="R243" i="3"/>
  <c r="R245" i="3"/>
  <c r="R247" i="3"/>
  <c r="R249" i="3"/>
  <c r="R228" i="3"/>
  <c r="R230" i="3"/>
  <c r="R232" i="3"/>
  <c r="R234" i="3"/>
  <c r="R236" i="3"/>
  <c r="R238" i="3"/>
  <c r="R240" i="3"/>
  <c r="R242" i="3"/>
  <c r="R244" i="3"/>
  <c r="R246" i="3"/>
  <c r="R248" i="3"/>
  <c r="R250" i="3"/>
  <c r="R251" i="3"/>
  <c r="R252" i="3"/>
  <c r="R253" i="3"/>
  <c r="R254" i="3"/>
  <c r="R255" i="3"/>
  <c r="R256" i="3"/>
  <c r="H15" i="5" l="1"/>
  <c r="D15" i="5"/>
  <c r="J15" i="5"/>
  <c r="E273" i="3" s="1"/>
  <c r="F15" i="5"/>
  <c r="M15" i="5"/>
  <c r="C15" i="5"/>
  <c r="B16" i="5"/>
  <c r="L16" i="5"/>
  <c r="R15" i="5"/>
  <c r="O17" i="5"/>
  <c r="Q16" i="5"/>
  <c r="P16" i="5"/>
  <c r="R257" i="3"/>
  <c r="P257" i="3"/>
  <c r="C16" i="5" l="1"/>
  <c r="M16" i="5"/>
  <c r="F16" i="5"/>
  <c r="J16" i="5"/>
  <c r="F273" i="3" s="1"/>
  <c r="D16" i="5"/>
  <c r="H16" i="5"/>
  <c r="B17" i="5"/>
  <c r="L17" i="5"/>
  <c r="I15" i="5"/>
  <c r="E15" i="5"/>
  <c r="K15" i="5"/>
  <c r="E266" i="3" s="1"/>
  <c r="G15" i="5"/>
  <c r="R16" i="5"/>
  <c r="O18" i="5"/>
  <c r="Q17" i="5"/>
  <c r="P17" i="5"/>
  <c r="A333" i="3"/>
  <c r="A374" i="3" s="1"/>
  <c r="W374" i="3" s="1"/>
  <c r="V374" i="3" s="1"/>
  <c r="U374" i="3" s="1"/>
  <c r="I441" i="3"/>
  <c r="I442" i="3"/>
  <c r="I443" i="3" s="1"/>
  <c r="C17" i="5" l="1"/>
  <c r="M17" i="5"/>
  <c r="F17" i="5"/>
  <c r="J17" i="5"/>
  <c r="G273" i="3" s="1"/>
  <c r="D17" i="5"/>
  <c r="H17" i="5"/>
  <c r="B18" i="5"/>
  <c r="L18" i="5"/>
  <c r="G16" i="5"/>
  <c r="K16" i="5"/>
  <c r="F266" i="3" s="1"/>
  <c r="E16" i="5"/>
  <c r="I16" i="5"/>
  <c r="R17" i="5"/>
  <c r="P18" i="5"/>
  <c r="Q18" i="5"/>
  <c r="T374" i="3"/>
  <c r="A334" i="3"/>
  <c r="A335" i="3"/>
  <c r="A376" i="3" s="1"/>
  <c r="W376" i="3" s="1"/>
  <c r="V376" i="3" s="1"/>
  <c r="F481" i="3"/>
  <c r="B454" i="3"/>
  <c r="A453" i="3"/>
  <c r="E481" i="3"/>
  <c r="M334" i="3"/>
  <c r="L19" i="5" l="1"/>
  <c r="F18" i="5"/>
  <c r="F19" i="5" s="1"/>
  <c r="J18" i="5"/>
  <c r="H273" i="3" s="1"/>
  <c r="D18" i="5"/>
  <c r="H18" i="5"/>
  <c r="H19" i="5" s="1"/>
  <c r="C18" i="5"/>
  <c r="M18" i="5"/>
  <c r="G17" i="5"/>
  <c r="K17" i="5"/>
  <c r="G266" i="3" s="1"/>
  <c r="E17" i="5"/>
  <c r="I17" i="5"/>
  <c r="D19" i="5"/>
  <c r="R18" i="5"/>
  <c r="C19" i="5"/>
  <c r="D6" i="9"/>
  <c r="E6" i="9"/>
  <c r="A336" i="3"/>
  <c r="A377" i="3" s="1"/>
  <c r="W377" i="3" s="1"/>
  <c r="V377" i="3" s="1"/>
  <c r="A375" i="3"/>
  <c r="W375" i="3" s="1"/>
  <c r="V375" i="3" s="1"/>
  <c r="U375" i="3" s="1"/>
  <c r="O374" i="3"/>
  <c r="L374" i="3"/>
  <c r="N374" i="3" s="1"/>
  <c r="Q374" i="3"/>
  <c r="S374" i="3"/>
  <c r="G481" i="3"/>
  <c r="B455" i="3"/>
  <c r="A454" i="3"/>
  <c r="A456" i="3" s="1"/>
  <c r="A455" i="3"/>
  <c r="M335" i="3"/>
  <c r="J19" i="5" l="1"/>
  <c r="M19" i="5"/>
  <c r="G18" i="5"/>
  <c r="K18" i="5"/>
  <c r="H266" i="3" s="1"/>
  <c r="E18" i="5"/>
  <c r="E19" i="5" s="1"/>
  <c r="I18" i="5"/>
  <c r="T375" i="3"/>
  <c r="U376" i="3"/>
  <c r="M336" i="3"/>
  <c r="M337" i="3"/>
  <c r="A457" i="3"/>
  <c r="K19" i="5" l="1"/>
  <c r="I19" i="5"/>
  <c r="G19" i="5"/>
  <c r="Q375" i="3"/>
  <c r="L375" i="3"/>
  <c r="N375" i="3" s="1"/>
  <c r="S375" i="3"/>
  <c r="O375" i="3"/>
  <c r="T376" i="3"/>
  <c r="Q376" i="3" s="1"/>
  <c r="U377" i="3"/>
  <c r="O376" i="3" l="1"/>
  <c r="U378" i="3"/>
  <c r="T377" i="3"/>
  <c r="O377" i="3" s="1"/>
  <c r="S376" i="3"/>
  <c r="L376" i="3"/>
  <c r="N376" i="3" s="1"/>
  <c r="Q377" i="3" l="1"/>
  <c r="U379" i="3"/>
  <c r="T378" i="3"/>
  <c r="Q378" i="3" s="1"/>
  <c r="S377" i="3"/>
  <c r="L377" i="3"/>
  <c r="N377" i="3" s="1"/>
  <c r="S378" i="3" l="1"/>
  <c r="U380" i="3"/>
  <c r="T379" i="3"/>
  <c r="L379" i="3" s="1"/>
  <c r="N379" i="3" s="1"/>
  <c r="O378" i="3"/>
  <c r="L378" i="3"/>
  <c r="N378" i="3" s="1"/>
  <c r="Q379" i="3" l="1"/>
  <c r="O379" i="3"/>
  <c r="U381" i="3"/>
  <c r="T380" i="3"/>
  <c r="L380" i="3" s="1"/>
  <c r="N380" i="3" s="1"/>
  <c r="S379" i="3"/>
  <c r="S380" i="3" l="1"/>
  <c r="O380" i="3"/>
  <c r="Q380" i="3"/>
  <c r="U382" i="3"/>
  <c r="T381" i="3"/>
  <c r="L381" i="3" s="1"/>
  <c r="N381" i="3" s="1"/>
  <c r="O381" i="3" l="1"/>
  <c r="U383" i="3"/>
  <c r="T382" i="3"/>
  <c r="O382" i="3" s="1"/>
  <c r="Q381" i="3"/>
  <c r="S381" i="3"/>
  <c r="S382" i="3" l="1"/>
  <c r="L382" i="3"/>
  <c r="N382" i="3" s="1"/>
  <c r="U384" i="3"/>
  <c r="T383" i="3"/>
  <c r="O383" i="3" s="1"/>
  <c r="Q382" i="3"/>
  <c r="S383" i="3" l="1"/>
  <c r="Q383" i="3"/>
  <c r="U385" i="3"/>
  <c r="T384" i="3"/>
  <c r="S384" i="3" s="1"/>
  <c r="L383" i="3"/>
  <c r="N383" i="3" s="1"/>
  <c r="L384" i="3" l="1"/>
  <c r="N384" i="3" s="1"/>
  <c r="Q384" i="3"/>
  <c r="U386" i="3"/>
  <c r="T385" i="3"/>
  <c r="O385" i="3" s="1"/>
  <c r="O384" i="3"/>
  <c r="Q385" i="3" l="1"/>
  <c r="U387" i="3"/>
  <c r="T386" i="3"/>
  <c r="S386" i="3" s="1"/>
  <c r="S385" i="3"/>
  <c r="L385" i="3"/>
  <c r="N385" i="3" s="1"/>
  <c r="O386" i="3" l="1"/>
  <c r="Q386" i="3"/>
  <c r="T387" i="3"/>
  <c r="S387" i="3" s="1"/>
  <c r="U388" i="3"/>
  <c r="L386" i="3"/>
  <c r="N386" i="3" s="1"/>
  <c r="O387" i="3" l="1"/>
  <c r="Q387" i="3"/>
  <c r="U389" i="3"/>
  <c r="T388" i="3"/>
  <c r="O388" i="3" s="1"/>
  <c r="L387" i="3"/>
  <c r="N387" i="3" s="1"/>
  <c r="T389" i="3" l="1"/>
  <c r="S389" i="3" s="1"/>
  <c r="U390" i="3"/>
  <c r="S388" i="3"/>
  <c r="L388" i="3"/>
  <c r="N388" i="3" s="1"/>
  <c r="Q388" i="3"/>
  <c r="L389" i="3" l="1"/>
  <c r="N389" i="3" s="1"/>
  <c r="U391" i="3"/>
  <c r="T390" i="3"/>
  <c r="Q390" i="3" s="1"/>
  <c r="Q389" i="3"/>
  <c r="O389" i="3"/>
  <c r="L390" i="3" l="1"/>
  <c r="N390" i="3" s="1"/>
  <c r="T391" i="3"/>
  <c r="L391" i="3" s="1"/>
  <c r="N391" i="3" s="1"/>
  <c r="U392" i="3"/>
  <c r="S390" i="3"/>
  <c r="O390" i="3"/>
  <c r="O391" i="3" l="1"/>
  <c r="U393" i="3"/>
  <c r="T392" i="3"/>
  <c r="Q392" i="3" s="1"/>
  <c r="S391" i="3"/>
  <c r="Q391" i="3"/>
  <c r="T393" i="3" l="1"/>
  <c r="S393" i="3" s="1"/>
  <c r="U394" i="3"/>
  <c r="L392" i="3"/>
  <c r="N392" i="3" s="1"/>
  <c r="S392" i="3"/>
  <c r="Q393" i="3"/>
  <c r="O392" i="3"/>
  <c r="O393" i="3" l="1"/>
  <c r="U395" i="3"/>
  <c r="T394" i="3"/>
  <c r="O394" i="3" s="1"/>
  <c r="L393" i="3"/>
  <c r="N393" i="3" s="1"/>
  <c r="Q394" i="3" l="1"/>
  <c r="U396" i="3"/>
  <c r="T396" i="3" s="1"/>
  <c r="T395" i="3"/>
  <c r="O395" i="3" s="1"/>
  <c r="S394" i="3"/>
  <c r="L394" i="3"/>
  <c r="N394" i="3" s="1"/>
  <c r="S395" i="3" l="1"/>
  <c r="Q395" i="3"/>
  <c r="L395" i="3"/>
  <c r="N395" i="3" s="1"/>
  <c r="L396" i="3"/>
  <c r="N396" i="3" s="1"/>
  <c r="O396" i="3"/>
  <c r="O397" i="3" s="1"/>
  <c r="S396" i="3"/>
  <c r="Q396" i="3"/>
  <c r="S397" i="3" l="1"/>
  <c r="Q397" i="3"/>
  <c r="N397" i="3"/>
  <c r="I398" i="3" s="1"/>
  <c r="I399" i="3" l="1"/>
  <c r="P366" i="3" s="1"/>
  <c r="I400" i="3"/>
  <c r="P368" i="3" l="1"/>
  <c r="P369" i="3"/>
  <c r="P370" i="3"/>
  <c r="P371" i="3"/>
  <c r="P372" i="3"/>
  <c r="P373" i="3"/>
  <c r="P374" i="3"/>
  <c r="P375" i="3"/>
  <c r="P376" i="3"/>
  <c r="P377" i="3"/>
  <c r="P378" i="3"/>
  <c r="P379" i="3"/>
  <c r="P380" i="3"/>
  <c r="P381" i="3"/>
  <c r="P382" i="3"/>
  <c r="P383" i="3"/>
  <c r="P384" i="3"/>
  <c r="P385" i="3"/>
  <c r="P386" i="3"/>
  <c r="P387" i="3"/>
  <c r="P388" i="3"/>
  <c r="P389" i="3"/>
  <c r="P390" i="3"/>
  <c r="P391" i="3"/>
  <c r="P392" i="3"/>
  <c r="P393" i="3"/>
  <c r="P394" i="3"/>
  <c r="P395" i="3"/>
  <c r="P396"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P397" i="3" l="1"/>
  <c r="I402" i="3" s="1"/>
  <c r="R397" i="3"/>
  <c r="I401" i="3" s="1"/>
  <c r="I404" i="3" l="1"/>
  <c r="I405" i="3"/>
  <c r="I403" i="3"/>
  <c r="D7" i="9" l="1"/>
  <c r="D8" i="9"/>
  <c r="E7" i="9"/>
  <c r="E8" i="9"/>
  <c r="F424" i="3" l="1"/>
  <c r="E429" i="3" s="1"/>
  <c r="G429" i="3" l="1"/>
  <c r="D428" i="3"/>
  <c r="E35" i="6"/>
  <c r="G412" i="3"/>
  <c r="G413" i="3" l="1"/>
  <c r="E413" i="3"/>
  <c r="I415" i="3" l="1"/>
  <c r="E427" i="3"/>
  <c r="E36" i="6"/>
  <c r="I416" i="3" l="1"/>
  <c r="I420" i="3"/>
  <c r="E433" i="3"/>
  <c r="P3" i="5" s="1"/>
  <c r="I502" i="3"/>
  <c r="F427" i="3"/>
  <c r="H429" i="3" s="1"/>
  <c r="H412" i="3"/>
  <c r="E32" i="6"/>
  <c r="P4" i="5" l="1"/>
  <c r="I284" i="9"/>
  <c r="K287" i="9" s="1"/>
  <c r="G49" i="9"/>
  <c r="G50" i="9" s="1"/>
  <c r="F49" i="9"/>
  <c r="F50" i="9" s="1"/>
  <c r="E49" i="9"/>
  <c r="E50" i="9" s="1"/>
  <c r="D50" i="9"/>
  <c r="H413" i="3"/>
  <c r="G427" i="3"/>
  <c r="G433" i="3" s="1"/>
  <c r="E34" i="6"/>
  <c r="E73" i="6"/>
  <c r="E74" i="6" s="1"/>
  <c r="E479" i="3"/>
  <c r="E485" i="3" s="1"/>
  <c r="P8" i="5" l="1"/>
  <c r="C8" i="5" s="1"/>
  <c r="O5" i="5"/>
  <c r="B5" i="5" s="1"/>
  <c r="O6" i="5"/>
  <c r="B6" i="5" s="1"/>
  <c r="P5" i="5"/>
  <c r="C5" i="5" s="1"/>
  <c r="O7" i="5"/>
  <c r="B7" i="5" s="1"/>
  <c r="P6" i="5"/>
  <c r="C6" i="5" s="1"/>
  <c r="O8" i="5"/>
  <c r="B8" i="5" s="1"/>
  <c r="P7" i="5"/>
  <c r="C7" i="5" s="1"/>
  <c r="E76" i="6"/>
  <c r="E80" i="6" s="1"/>
  <c r="H427" i="3"/>
  <c r="I417" i="3"/>
  <c r="I418" i="3"/>
  <c r="E99" i="6"/>
  <c r="I435" i="3"/>
  <c r="G479" i="3"/>
  <c r="G485" i="3" s="1"/>
  <c r="E7" i="5" l="1"/>
  <c r="C47" i="5"/>
  <c r="C45" i="5"/>
  <c r="D8" i="5"/>
  <c r="B48" i="5"/>
  <c r="D6" i="5"/>
  <c r="B46" i="5"/>
  <c r="E6" i="5"/>
  <c r="C46" i="5"/>
  <c r="D5" i="5"/>
  <c r="D45" i="5" s="1"/>
  <c r="B45" i="5"/>
  <c r="D7" i="5"/>
  <c r="B47" i="5"/>
  <c r="E8" i="5"/>
  <c r="C48" i="5"/>
  <c r="B9" i="5"/>
  <c r="E5" i="5"/>
  <c r="E45" i="5" s="1"/>
  <c r="C9" i="5"/>
  <c r="E232" i="9"/>
  <c r="F51" i="9"/>
  <c r="G232" i="9"/>
  <c r="F232" i="9"/>
  <c r="H232" i="9"/>
  <c r="G51" i="9"/>
  <c r="E51" i="9"/>
  <c r="I436" i="3"/>
  <c r="I499" i="3"/>
  <c r="I503" i="3" s="1"/>
  <c r="I487" i="3"/>
  <c r="I488" i="3" s="1"/>
  <c r="E38" i="6"/>
  <c r="G80" i="6"/>
  <c r="F479" i="3"/>
  <c r="H481" i="3" s="1"/>
  <c r="H432" i="3"/>
  <c r="H433" i="3" s="1"/>
  <c r="E37" i="6"/>
  <c r="I504" i="3"/>
  <c r="I505" i="3" s="1"/>
  <c r="F5" i="5" l="1"/>
  <c r="F45" i="5" s="1"/>
  <c r="D9" i="5"/>
  <c r="G8" i="5"/>
  <c r="E48" i="5"/>
  <c r="F6" i="5"/>
  <c r="D46" i="5"/>
  <c r="F7" i="5"/>
  <c r="D47" i="5"/>
  <c r="G6" i="5"/>
  <c r="E46" i="5"/>
  <c r="F8" i="5"/>
  <c r="D48" i="5"/>
  <c r="G7" i="5"/>
  <c r="E47" i="5"/>
  <c r="E9" i="5"/>
  <c r="G5" i="5"/>
  <c r="F231" i="9"/>
  <c r="E231" i="9"/>
  <c r="H231" i="9"/>
  <c r="G231" i="9"/>
  <c r="D53" i="9"/>
  <c r="F53" i="9"/>
  <c r="E53" i="9"/>
  <c r="G53" i="9"/>
  <c r="E39" i="6"/>
  <c r="E108" i="6" s="1"/>
  <c r="G108" i="6" s="1"/>
  <c r="E44" i="6"/>
  <c r="E40" i="6"/>
  <c r="E125" i="6" s="1"/>
  <c r="I438" i="3"/>
  <c r="I437" i="3"/>
  <c r="H479" i="3"/>
  <c r="E45" i="6"/>
  <c r="H484" i="3"/>
  <c r="H5" i="5" l="1"/>
  <c r="H45" i="5" s="1"/>
  <c r="F9" i="5"/>
  <c r="I7" i="5"/>
  <c r="G47" i="5"/>
  <c r="I6" i="5"/>
  <c r="G46" i="5"/>
  <c r="H6" i="5"/>
  <c r="F46" i="5"/>
  <c r="G9" i="5"/>
  <c r="I5" i="5"/>
  <c r="I45" i="5" s="1"/>
  <c r="G45" i="5"/>
  <c r="H8" i="5"/>
  <c r="F48" i="5"/>
  <c r="H7" i="5"/>
  <c r="F47" i="5"/>
  <c r="I8" i="5"/>
  <c r="G48" i="5"/>
  <c r="I307" i="9"/>
  <c r="H6" i="9"/>
  <c r="F6" i="9"/>
  <c r="J6" i="9"/>
  <c r="G6" i="9"/>
  <c r="I6" i="9"/>
  <c r="K6" i="9"/>
  <c r="F55" i="9"/>
  <c r="G55" i="9"/>
  <c r="E55" i="9"/>
  <c r="E54" i="9"/>
  <c r="G54" i="9"/>
  <c r="F54" i="9"/>
  <c r="H485" i="3"/>
  <c r="I302" i="9" s="1"/>
  <c r="E42" i="6"/>
  <c r="G42" i="6" s="1"/>
  <c r="D125" i="6"/>
  <c r="E43" i="6"/>
  <c r="G43" i="6" s="1"/>
  <c r="E126" i="6"/>
  <c r="E128" i="6" s="1"/>
  <c r="E46" i="6"/>
  <c r="E47" i="6" s="1"/>
  <c r="E48" i="6" s="1"/>
  <c r="G45" i="6"/>
  <c r="E78" i="6"/>
  <c r="G44" i="6"/>
  <c r="D126" i="6"/>
  <c r="E77" i="6"/>
  <c r="J5" i="5" l="1"/>
  <c r="E272" i="3" s="1"/>
  <c r="I9" i="5"/>
  <c r="J7" i="5"/>
  <c r="G272" i="3" s="1"/>
  <c r="H47" i="5"/>
  <c r="J45" i="5"/>
  <c r="I46" i="5"/>
  <c r="K6" i="5"/>
  <c r="F265" i="3" s="1"/>
  <c r="H9" i="5"/>
  <c r="I48" i="5"/>
  <c r="K8" i="5"/>
  <c r="H265" i="3" s="1"/>
  <c r="J8" i="5"/>
  <c r="H272" i="3" s="1"/>
  <c r="H48" i="5"/>
  <c r="K5" i="5"/>
  <c r="J6" i="5"/>
  <c r="F272" i="3" s="1"/>
  <c r="H46" i="5"/>
  <c r="I47" i="5"/>
  <c r="K7" i="5"/>
  <c r="G265" i="3" s="1"/>
  <c r="I305" i="9"/>
  <c r="G57" i="9"/>
  <c r="G59" i="9" s="1"/>
  <c r="G233" i="9" s="1"/>
  <c r="G234" i="9" s="1"/>
  <c r="G56" i="9"/>
  <c r="G58" i="9" s="1"/>
  <c r="F57" i="9"/>
  <c r="F59" i="9" s="1"/>
  <c r="F233" i="9" s="1"/>
  <c r="F234" i="9" s="1"/>
  <c r="D57" i="9"/>
  <c r="D59" i="9" s="1"/>
  <c r="H233" i="9" s="1"/>
  <c r="H234" i="9" s="1"/>
  <c r="E57" i="9"/>
  <c r="E59" i="9" s="1"/>
  <c r="E233" i="9" s="1"/>
  <c r="E234" i="9" s="1"/>
  <c r="D56" i="9"/>
  <c r="D58" i="9" s="1"/>
  <c r="D67" i="9" s="1"/>
  <c r="F56" i="9"/>
  <c r="F58" i="9" s="1"/>
  <c r="H67" i="9" s="1" a="1"/>
  <c r="E56" i="9"/>
  <c r="E58" i="9" s="1"/>
  <c r="D128" i="6"/>
  <c r="E49" i="6"/>
  <c r="E50" i="6" s="1"/>
  <c r="G77" i="6"/>
  <c r="G78" i="6"/>
  <c r="I491" i="3"/>
  <c r="I490" i="3"/>
  <c r="I489" i="3"/>
  <c r="L5" i="5" l="1"/>
  <c r="L45" i="5" s="1"/>
  <c r="F497" i="3"/>
  <c r="E235" i="9"/>
  <c r="F495" i="3"/>
  <c r="F509" i="3" s="1"/>
  <c r="E187" i="9"/>
  <c r="E188" i="9" s="1"/>
  <c r="F5" i="9"/>
  <c r="G5" i="9"/>
  <c r="H497" i="3"/>
  <c r="H495" i="3"/>
  <c r="H509" i="3" s="1"/>
  <c r="I279" i="3"/>
  <c r="I299" i="9"/>
  <c r="I298" i="9" s="1"/>
  <c r="I308" i="9" s="1"/>
  <c r="K309" i="9" s="1"/>
  <c r="G235" i="9"/>
  <c r="G187" i="9"/>
  <c r="G188" i="9" s="1"/>
  <c r="J5" i="9"/>
  <c r="K5" i="9"/>
  <c r="G497" i="3"/>
  <c r="F235" i="9"/>
  <c r="G495" i="3"/>
  <c r="G509" i="3" s="1"/>
  <c r="F187" i="9"/>
  <c r="F188" i="9" s="1"/>
  <c r="I5" i="9"/>
  <c r="H5" i="9"/>
  <c r="M5" i="5"/>
  <c r="M45" i="5" s="1"/>
  <c r="E265" i="3"/>
  <c r="H235" i="9" s="1"/>
  <c r="K47" i="5"/>
  <c r="M7" i="5"/>
  <c r="M47" i="5" s="1"/>
  <c r="K45" i="5"/>
  <c r="K9" i="5"/>
  <c r="J48" i="5"/>
  <c r="L8" i="5"/>
  <c r="L48" i="5" s="1"/>
  <c r="K46" i="5"/>
  <c r="M6" i="5"/>
  <c r="M46" i="5" s="1"/>
  <c r="J9" i="5"/>
  <c r="J46" i="5"/>
  <c r="L6" i="5"/>
  <c r="L46" i="5" s="1"/>
  <c r="K48" i="5"/>
  <c r="M8" i="5"/>
  <c r="M48" i="5" s="1"/>
  <c r="J47" i="5"/>
  <c r="L7" i="5"/>
  <c r="L47" i="5" s="1"/>
  <c r="J7" i="9"/>
  <c r="J133" i="9" s="1"/>
  <c r="H7" i="9"/>
  <c r="H133" i="9" s="1"/>
  <c r="F7" i="9"/>
  <c r="F133" i="9" s="1"/>
  <c r="J8" i="9"/>
  <c r="J136" i="9" s="1"/>
  <c r="H8" i="9"/>
  <c r="H136" i="9" s="1"/>
  <c r="F8" i="9"/>
  <c r="F136" i="9" s="1"/>
  <c r="K7" i="9"/>
  <c r="K133" i="9" s="1"/>
  <c r="I7" i="9"/>
  <c r="G7" i="9"/>
  <c r="G133" i="9" s="1"/>
  <c r="K8" i="9"/>
  <c r="K136" i="9" s="1"/>
  <c r="I8" i="9"/>
  <c r="I136" i="9" s="1"/>
  <c r="G8" i="9"/>
  <c r="G136" i="9" s="1"/>
  <c r="E67" i="9"/>
  <c r="E86" i="9" s="1"/>
  <c r="E126" i="9" s="1"/>
  <c r="D233" i="9"/>
  <c r="D234" i="9" s="1"/>
  <c r="J67" i="9" a="1"/>
  <c r="J67" i="9" s="1"/>
  <c r="D133" i="9"/>
  <c r="D136" i="9"/>
  <c r="E133" i="9"/>
  <c r="E136" i="9"/>
  <c r="F67" i="9" a="1"/>
  <c r="F67" i="9" s="1"/>
  <c r="D86" i="9"/>
  <c r="D126" i="9" s="1"/>
  <c r="H67" i="9"/>
  <c r="I67" i="9"/>
  <c r="G49" i="6"/>
  <c r="E79" i="6"/>
  <c r="E92" i="6" s="1"/>
  <c r="B87" i="6"/>
  <c r="G50" i="6"/>
  <c r="E52" i="6"/>
  <c r="M49" i="5" l="1"/>
  <c r="H127" i="9"/>
  <c r="H87" i="9"/>
  <c r="H68" i="9"/>
  <c r="H69" i="9" s="1"/>
  <c r="I72" i="9" s="1"/>
  <c r="I87" i="9"/>
  <c r="I68" i="9"/>
  <c r="I69" i="9" s="1"/>
  <c r="I76" i="9" s="1"/>
  <c r="I127" i="9"/>
  <c r="E497" i="3"/>
  <c r="I497" i="3"/>
  <c r="E5" i="9"/>
  <c r="E495" i="3"/>
  <c r="E509" i="3" s="1"/>
  <c r="D235" i="9"/>
  <c r="D187" i="9"/>
  <c r="D188" i="9" s="1"/>
  <c r="I495" i="3"/>
  <c r="D5" i="9"/>
  <c r="K68" i="9"/>
  <c r="K127" i="9"/>
  <c r="K87" i="9"/>
  <c r="I284" i="3"/>
  <c r="I283" i="3"/>
  <c r="G87" i="9"/>
  <c r="G68" i="9"/>
  <c r="G127" i="9"/>
  <c r="J127" i="9"/>
  <c r="J87" i="9"/>
  <c r="J68" i="9"/>
  <c r="J69" i="9" s="1"/>
  <c r="K72" i="9" s="1"/>
  <c r="F127" i="9"/>
  <c r="F87" i="9"/>
  <c r="F68" i="9"/>
  <c r="F69" i="9" s="1"/>
  <c r="G72" i="9" s="1"/>
  <c r="K49" i="5"/>
  <c r="J49" i="5"/>
  <c r="L49" i="5"/>
  <c r="L9" i="5"/>
  <c r="M9" i="5"/>
  <c r="I133" i="9"/>
  <c r="K67" i="9"/>
  <c r="G67" i="9"/>
  <c r="H86" i="9"/>
  <c r="H126" i="9" s="1"/>
  <c r="I86" i="9"/>
  <c r="I126" i="9" s="1"/>
  <c r="J86" i="9"/>
  <c r="J126" i="9" s="1"/>
  <c r="F86" i="9"/>
  <c r="F126" i="9" s="1"/>
  <c r="G79" i="6"/>
  <c r="E62" i="6"/>
  <c r="E89" i="6"/>
  <c r="G92" i="6"/>
  <c r="E93" i="6"/>
  <c r="G69" i="9" l="1"/>
  <c r="G76" i="9" s="1"/>
  <c r="G74" i="9" s="1"/>
  <c r="D127" i="9"/>
  <c r="D87" i="9"/>
  <c r="D68" i="9"/>
  <c r="D69" i="9" s="1"/>
  <c r="E72" i="9" s="1"/>
  <c r="K69" i="9"/>
  <c r="K76" i="9" s="1"/>
  <c r="K74" i="9" s="1"/>
  <c r="I509" i="3"/>
  <c r="E127" i="9"/>
  <c r="E87" i="9"/>
  <c r="E68" i="9"/>
  <c r="E69" i="9" s="1"/>
  <c r="E76" i="9" s="1"/>
  <c r="K86" i="9"/>
  <c r="K126" i="9" s="1"/>
  <c r="G86" i="9"/>
  <c r="G126" i="9" s="1"/>
  <c r="I74" i="9"/>
  <c r="E137" i="6"/>
  <c r="D137" i="6"/>
  <c r="E68" i="6"/>
  <c r="G68" i="6" s="1"/>
  <c r="E65" i="6"/>
  <c r="E66" i="6"/>
  <c r="E67" i="6"/>
  <c r="G67" i="6" s="1"/>
  <c r="E63" i="6"/>
  <c r="E94" i="6"/>
  <c r="E96" i="6" s="1"/>
  <c r="E97" i="6" s="1"/>
  <c r="G93" i="6"/>
  <c r="E74" i="9" l="1"/>
  <c r="H78" i="9" s="1"/>
  <c r="H79" i="9" s="1"/>
  <c r="H80" i="9" s="1"/>
  <c r="B89" i="9" s="1"/>
  <c r="B129" i="9" s="1"/>
  <c r="E103" i="6"/>
  <c r="E100" i="6"/>
  <c r="E121" i="6" s="1"/>
  <c r="E102" i="6"/>
  <c r="E101" i="6"/>
  <c r="D127" i="6"/>
  <c r="D129" i="6" s="1"/>
  <c r="G65" i="6"/>
  <c r="E127" i="6"/>
  <c r="E129" i="6" s="1"/>
  <c r="G66" i="6"/>
  <c r="H88" i="9" l="1"/>
  <c r="H90" i="9" s="1"/>
  <c r="I94" i="9" s="1"/>
  <c r="I88" i="9"/>
  <c r="I90" i="9" s="1"/>
  <c r="I98" i="9" s="1"/>
  <c r="E88" i="9"/>
  <c r="E90" i="9" s="1"/>
  <c r="E98" i="9" s="1"/>
  <c r="D88" i="9"/>
  <c r="D90" i="9" s="1"/>
  <c r="E94" i="9" s="1"/>
  <c r="J88" i="9"/>
  <c r="J90" i="9" s="1"/>
  <c r="K94" i="9" s="1"/>
  <c r="F88" i="9"/>
  <c r="F90" i="9" s="1"/>
  <c r="G94" i="9" s="1"/>
  <c r="K88" i="9"/>
  <c r="K90" i="9" s="1"/>
  <c r="K98" i="9" s="1"/>
  <c r="G88" i="9"/>
  <c r="G90" i="9" s="1"/>
  <c r="G98" i="9" s="1"/>
  <c r="E128" i="9"/>
  <c r="E130" i="9" s="1"/>
  <c r="G128" i="9"/>
  <c r="G130" i="9" s="1"/>
  <c r="I128" i="9"/>
  <c r="I130" i="9" s="1"/>
  <c r="K128" i="9"/>
  <c r="K130" i="9" s="1"/>
  <c r="F128" i="9"/>
  <c r="F130" i="9" s="1"/>
  <c r="H128" i="9"/>
  <c r="H130" i="9" s="1"/>
  <c r="J128" i="9"/>
  <c r="J130" i="9" s="1"/>
  <c r="D128" i="9"/>
  <c r="D130" i="9" s="1"/>
  <c r="G102" i="6"/>
  <c r="E107" i="6"/>
  <c r="G103" i="6"/>
  <c r="E110" i="6"/>
  <c r="G101" i="6"/>
  <c r="E122" i="6"/>
  <c r="G100" i="6"/>
  <c r="G96" i="9" l="1"/>
  <c r="F96" i="9" s="1"/>
  <c r="I152" i="9"/>
  <c r="K152" i="9" s="1"/>
  <c r="I147" i="9"/>
  <c r="K147" i="9" s="1"/>
  <c r="E96" i="9"/>
  <c r="D228" i="9" s="1"/>
  <c r="D229" i="9" s="1"/>
  <c r="I96" i="9"/>
  <c r="K96" i="9"/>
  <c r="G121" i="6"/>
  <c r="D130" i="6"/>
  <c r="D132" i="6" s="1"/>
  <c r="G122" i="6"/>
  <c r="E130" i="6"/>
  <c r="E132" i="6" s="1"/>
  <c r="G110" i="6"/>
  <c r="G107" i="6"/>
  <c r="E109" i="6"/>
  <c r="G109" i="6" s="1"/>
  <c r="G228" i="9" l="1"/>
  <c r="G229" i="9" s="1"/>
  <c r="H96" i="9"/>
  <c r="F228" i="9" s="1"/>
  <c r="F229" i="9" s="1"/>
  <c r="E228" i="9"/>
  <c r="E229" i="9" s="1"/>
  <c r="H228" i="9"/>
  <c r="H229" i="9" s="1"/>
  <c r="J96" i="9"/>
  <c r="D96" i="9"/>
  <c r="E111" i="6"/>
  <c r="I100" i="9" l="1"/>
  <c r="I103" i="9" s="1"/>
  <c r="I113" i="9" s="1"/>
  <c r="I114" i="9" s="1"/>
  <c r="B135" i="9" s="1"/>
  <c r="E134" i="9" s="1"/>
  <c r="E112" i="6"/>
  <c r="E115" i="6" s="1"/>
  <c r="G111" i="6"/>
  <c r="I117" i="9" l="1"/>
  <c r="I120" i="9" s="1"/>
  <c r="I121" i="9" s="1"/>
  <c r="B138" i="9" s="1"/>
  <c r="E137" i="9" s="1"/>
  <c r="G134" i="9"/>
  <c r="H134" i="9"/>
  <c r="J134" i="9"/>
  <c r="K134" i="9"/>
  <c r="I134" i="9"/>
  <c r="D134" i="9"/>
  <c r="F134" i="9"/>
  <c r="E116" i="6"/>
  <c r="E118" i="6"/>
  <c r="E119" i="6"/>
  <c r="H137" i="9" l="1"/>
  <c r="D137" i="9"/>
  <c r="F137" i="9"/>
  <c r="I137" i="9"/>
  <c r="G137" i="9"/>
  <c r="J137" i="9"/>
  <c r="K137" i="9"/>
  <c r="G119" i="6"/>
  <c r="E131" i="6"/>
  <c r="E133" i="6" s="1"/>
  <c r="G118" i="6"/>
  <c r="D131" i="6"/>
  <c r="D133" i="6" s="1"/>
  <c r="W347" i="3"/>
  <c r="W351" i="3"/>
  <c r="W355" i="3"/>
  <c r="W346" i="3"/>
  <c r="W350" i="3"/>
  <c r="W354" i="3"/>
  <c r="W340" i="3"/>
  <c r="W345" i="3"/>
  <c r="W349" i="3"/>
  <c r="W353" i="3"/>
  <c r="W344" i="3"/>
  <c r="W348" i="3"/>
  <c r="W352" i="3"/>
  <c r="W330" i="3"/>
  <c r="W343" i="3"/>
  <c r="W338" i="3"/>
  <c r="W334" i="3"/>
  <c r="W335" i="3"/>
  <c r="W336" i="3"/>
  <c r="W332" i="3"/>
  <c r="W333" i="3"/>
  <c r="W328" i="3"/>
  <c r="W331" i="3"/>
  <c r="W339" i="3"/>
  <c r="W337" i="3"/>
  <c r="W327" i="3"/>
  <c r="T327" i="3" s="1"/>
  <c r="W329" i="3"/>
  <c r="A446" i="3"/>
  <c r="W326" i="3"/>
  <c r="T326" i="3" s="1"/>
  <c r="S327" i="3" l="1"/>
  <c r="V342" i="3"/>
  <c r="V341" i="3"/>
  <c r="V329" i="3"/>
  <c r="U329" i="3" s="1"/>
  <c r="T329" i="3" s="1"/>
  <c r="V336" i="3"/>
  <c r="V332" i="3"/>
  <c r="V333" i="3"/>
  <c r="Q327" i="3"/>
  <c r="O327" i="3"/>
  <c r="V328" i="3"/>
  <c r="L327" i="3"/>
  <c r="N327" i="3" s="1"/>
  <c r="V327" i="3"/>
  <c r="V337" i="3"/>
  <c r="V339" i="3"/>
  <c r="V331" i="3"/>
  <c r="T328" i="3"/>
  <c r="S328" i="3" s="1"/>
  <c r="V335" i="3"/>
  <c r="V343" i="3"/>
  <c r="V352" i="3"/>
  <c r="V344" i="3"/>
  <c r="V349" i="3"/>
  <c r="V340" i="3"/>
  <c r="V350" i="3"/>
  <c r="V355" i="3"/>
  <c r="V347" i="3"/>
  <c r="V334" i="3"/>
  <c r="V338" i="3"/>
  <c r="V330" i="3"/>
  <c r="V348" i="3"/>
  <c r="V353" i="3"/>
  <c r="V345" i="3"/>
  <c r="V354" i="3"/>
  <c r="V346" i="3"/>
  <c r="V351" i="3"/>
  <c r="U330" i="3" l="1"/>
  <c r="T330" i="3" s="1"/>
  <c r="O328" i="3"/>
  <c r="O329" i="3"/>
  <c r="Q329" i="3"/>
  <c r="S329" i="3"/>
  <c r="L329" i="3"/>
  <c r="N329" i="3" s="1"/>
  <c r="Q328" i="3"/>
  <c r="L328" i="3"/>
  <c r="N328" i="3" s="1"/>
  <c r="U331" i="3" l="1"/>
  <c r="T331" i="3" s="1"/>
  <c r="Q331" i="3" s="1"/>
  <c r="L330" i="3"/>
  <c r="N330" i="3" s="1"/>
  <c r="Q330" i="3"/>
  <c r="O330" i="3"/>
  <c r="S330" i="3"/>
  <c r="U332" i="3" l="1"/>
  <c r="U333" i="3" s="1"/>
  <c r="L331" i="3"/>
  <c r="N331" i="3" s="1"/>
  <c r="S331" i="3"/>
  <c r="O331" i="3"/>
  <c r="T332" i="3" l="1"/>
  <c r="S332" i="3" s="1"/>
  <c r="T333" i="3"/>
  <c r="U334" i="3"/>
  <c r="S333" i="3" l="1"/>
  <c r="L332" i="3"/>
  <c r="N332" i="3" s="1"/>
  <c r="O332" i="3"/>
  <c r="Q332" i="3"/>
  <c r="Q333" i="3"/>
  <c r="L333" i="3"/>
  <c r="N333" i="3" s="1"/>
  <c r="O333" i="3"/>
  <c r="T334" i="3"/>
  <c r="U335" i="3"/>
  <c r="L334" i="3" l="1"/>
  <c r="N334" i="3" s="1"/>
  <c r="T335" i="3"/>
  <c r="U336" i="3"/>
  <c r="Q334" i="3"/>
  <c r="S334" i="3"/>
  <c r="O334" i="3"/>
  <c r="O335" i="3" l="1"/>
  <c r="S335" i="3"/>
  <c r="U337" i="3"/>
  <c r="T336" i="3"/>
  <c r="Q335" i="3"/>
  <c r="L335" i="3"/>
  <c r="N335" i="3" s="1"/>
  <c r="L336" i="3" l="1"/>
  <c r="N336" i="3" s="1"/>
  <c r="T337" i="3"/>
  <c r="U338" i="3"/>
  <c r="S336" i="3"/>
  <c r="Q336" i="3"/>
  <c r="O336" i="3"/>
  <c r="L337" i="3" l="1"/>
  <c r="N337" i="3" s="1"/>
  <c r="T338" i="3"/>
  <c r="U339" i="3"/>
  <c r="S337" i="3"/>
  <c r="O337" i="3"/>
  <c r="Q337" i="3"/>
  <c r="L338" i="3" l="1"/>
  <c r="N338" i="3" s="1"/>
  <c r="Q338" i="3"/>
  <c r="T339" i="3"/>
  <c r="L339" i="3" s="1"/>
  <c r="N339" i="3" s="1"/>
  <c r="U340" i="3"/>
  <c r="U341" i="3" s="1"/>
  <c r="O338" i="3"/>
  <c r="S338" i="3"/>
  <c r="T341" i="3" l="1"/>
  <c r="U342" i="3"/>
  <c r="T342" i="3" s="1"/>
  <c r="T340" i="3"/>
  <c r="Q340" i="3" s="1"/>
  <c r="S339" i="3"/>
  <c r="Q339" i="3"/>
  <c r="O339" i="3"/>
  <c r="L340" i="3" l="1"/>
  <c r="N340" i="3" s="1"/>
  <c r="S340" i="3"/>
  <c r="L341" i="3"/>
  <c r="N341" i="3" s="1"/>
  <c r="O341" i="3"/>
  <c r="Q341" i="3"/>
  <c r="S341" i="3"/>
  <c r="O340" i="3"/>
  <c r="L342" i="3"/>
  <c r="N342" i="3" s="1"/>
  <c r="O342" i="3"/>
  <c r="Q342" i="3"/>
  <c r="S342" i="3"/>
  <c r="U343" i="3" l="1"/>
  <c r="T343" i="3" l="1"/>
  <c r="S343" i="3" s="1"/>
  <c r="U344" i="3"/>
  <c r="Q343" i="3" l="1"/>
  <c r="O343" i="3"/>
  <c r="L343" i="3"/>
  <c r="N343" i="3" s="1"/>
  <c r="U345" i="3"/>
  <c r="T344" i="3"/>
  <c r="S344" i="3" s="1"/>
  <c r="L344" i="3" l="1"/>
  <c r="N344" i="3" s="1"/>
  <c r="O344" i="3"/>
  <c r="Q344" i="3"/>
  <c r="T345" i="3"/>
  <c r="U346" i="3"/>
  <c r="U347" i="3" l="1"/>
  <c r="T346" i="3"/>
  <c r="Q346" i="3" s="1"/>
  <c r="L345" i="3"/>
  <c r="N345" i="3" s="1"/>
  <c r="Q345" i="3"/>
  <c r="O345" i="3"/>
  <c r="S345" i="3"/>
  <c r="L346" i="3" l="1"/>
  <c r="N346" i="3" s="1"/>
  <c r="O346" i="3"/>
  <c r="T347" i="3"/>
  <c r="U348" i="3"/>
  <c r="S346" i="3"/>
  <c r="U349" i="3" l="1"/>
  <c r="T348" i="3"/>
  <c r="Q348" i="3" s="1"/>
  <c r="Q347" i="3"/>
  <c r="S347" i="3"/>
  <c r="L347" i="3"/>
  <c r="N347" i="3" s="1"/>
  <c r="O347" i="3"/>
  <c r="L348" i="3" l="1"/>
  <c r="N348" i="3" s="1"/>
  <c r="O348" i="3"/>
  <c r="T349" i="3"/>
  <c r="U350" i="3"/>
  <c r="S348" i="3"/>
  <c r="S349" i="3" l="1"/>
  <c r="Q349" i="3"/>
  <c r="T350" i="3"/>
  <c r="U351" i="3"/>
  <c r="L349" i="3"/>
  <c r="N349" i="3" s="1"/>
  <c r="O349" i="3"/>
  <c r="T351" i="3" l="1"/>
  <c r="O351" i="3" s="1"/>
  <c r="U352" i="3"/>
  <c r="Q350" i="3"/>
  <c r="S350" i="3"/>
  <c r="L350" i="3"/>
  <c r="N350" i="3" s="1"/>
  <c r="O350" i="3"/>
  <c r="U353" i="3" l="1"/>
  <c r="T352" i="3"/>
  <c r="S352" i="3" s="1"/>
  <c r="L351" i="3"/>
  <c r="N351" i="3" s="1"/>
  <c r="S351" i="3"/>
  <c r="Q351" i="3"/>
  <c r="Q352" i="3" l="1"/>
  <c r="O352" i="3"/>
  <c r="L352" i="3"/>
  <c r="N352" i="3" s="1"/>
  <c r="T353" i="3"/>
  <c r="Q353" i="3" s="1"/>
  <c r="U354" i="3"/>
  <c r="U355" i="3" l="1"/>
  <c r="T355" i="3" s="1"/>
  <c r="T354" i="3"/>
  <c r="S354" i="3" s="1"/>
  <c r="L353" i="3"/>
  <c r="N353" i="3" s="1"/>
  <c r="S353" i="3"/>
  <c r="O353" i="3"/>
  <c r="L354" i="3" l="1"/>
  <c r="N354" i="3" s="1"/>
  <c r="O354" i="3"/>
  <c r="Q354" i="3"/>
  <c r="O355" i="3"/>
  <c r="Q355" i="3"/>
  <c r="S355" i="3"/>
  <c r="S356" i="3" s="1"/>
  <c r="L355" i="3"/>
  <c r="N355" i="3" s="1"/>
  <c r="Q356" i="3" l="1"/>
  <c r="N356" i="3"/>
  <c r="I357" i="3" s="1"/>
  <c r="O356" i="3"/>
  <c r="I358" i="3" l="1"/>
  <c r="P325" i="3" s="1"/>
  <c r="P341" i="3" s="1"/>
  <c r="I359" i="3"/>
  <c r="R329" i="3" s="1"/>
  <c r="R349" i="3" l="1"/>
  <c r="R348" i="3"/>
  <c r="R338" i="3"/>
  <c r="R330" i="3"/>
  <c r="R331" i="3"/>
  <c r="R339" i="3"/>
  <c r="P329" i="3"/>
  <c r="R352" i="3"/>
  <c r="R344" i="3"/>
  <c r="R334" i="3"/>
  <c r="P347" i="3"/>
  <c r="R342" i="3"/>
  <c r="P343" i="3"/>
  <c r="R353" i="3"/>
  <c r="R345" i="3"/>
  <c r="R335" i="3"/>
  <c r="R327" i="3"/>
  <c r="R341" i="3"/>
  <c r="P351" i="3"/>
  <c r="P333" i="3"/>
  <c r="P355" i="3"/>
  <c r="P337" i="3"/>
  <c r="P352" i="3"/>
  <c r="P348" i="3"/>
  <c r="P344" i="3"/>
  <c r="P338" i="3"/>
  <c r="P334" i="3"/>
  <c r="P330" i="3"/>
  <c r="R354" i="3"/>
  <c r="R350" i="3"/>
  <c r="R346" i="3"/>
  <c r="R340" i="3"/>
  <c r="R336" i="3"/>
  <c r="R332" i="3"/>
  <c r="R328" i="3"/>
  <c r="P353" i="3"/>
  <c r="P349" i="3"/>
  <c r="P345" i="3"/>
  <c r="P339" i="3"/>
  <c r="P335" i="3"/>
  <c r="P331" i="3"/>
  <c r="P328" i="3"/>
  <c r="P342" i="3"/>
  <c r="R355" i="3"/>
  <c r="R351" i="3"/>
  <c r="R347" i="3"/>
  <c r="R343" i="3"/>
  <c r="R337" i="3"/>
  <c r="R333" i="3"/>
  <c r="P354" i="3"/>
  <c r="P350" i="3"/>
  <c r="P346" i="3"/>
  <c r="P340" i="3"/>
  <c r="P336" i="3"/>
  <c r="P332" i="3"/>
  <c r="P327" i="3"/>
  <c r="R356" i="3" l="1"/>
  <c r="I360" i="3" s="1"/>
  <c r="I364" i="3" s="1"/>
  <c r="P356" i="3"/>
  <c r="I361" i="3" s="1"/>
  <c r="I362" i="3" l="1"/>
  <c r="I363" i="3"/>
  <c r="D248" i="9" l="1"/>
  <c r="D236" i="9"/>
  <c r="E276" i="3"/>
  <c r="D266" i="9" l="1"/>
  <c r="D269" i="9" s="1"/>
  <c r="H266" i="9"/>
  <c r="H269" i="9" s="1"/>
  <c r="D250" i="9"/>
  <c r="D237" i="9"/>
  <c r="I49" i="5"/>
  <c r="Q266" i="9" l="1"/>
  <c r="D239" i="9"/>
  <c r="D251" i="9"/>
  <c r="D255" i="9" l="1"/>
  <c r="D254" i="9"/>
  <c r="D240" i="9"/>
  <c r="D241" i="9"/>
  <c r="D242" i="9" s="1"/>
  <c r="D243" i="9" s="1"/>
  <c r="E132" i="9"/>
  <c r="E139" i="9" s="1"/>
  <c r="E510" i="3"/>
  <c r="D132" i="9"/>
  <c r="D139" i="9" l="1"/>
  <c r="I132" i="9" l="1"/>
  <c r="I139" i="9" s="1"/>
  <c r="C49" i="5"/>
  <c r="G248" i="9" l="1"/>
  <c r="G236" i="9"/>
  <c r="F236" i="9"/>
  <c r="F248" i="9"/>
  <c r="H276" i="3"/>
  <c r="E49" i="5"/>
  <c r="G510" i="3"/>
  <c r="H132" i="9"/>
  <c r="H139" i="9" s="1"/>
  <c r="G49" i="5"/>
  <c r="F49" i="5"/>
  <c r="K132" i="9"/>
  <c r="K139" i="9" s="1"/>
  <c r="H49" i="5"/>
  <c r="J132" i="9"/>
  <c r="J139" i="9" s="1"/>
  <c r="I510" i="3"/>
  <c r="B19" i="5"/>
  <c r="G276" i="3"/>
  <c r="H510" i="3"/>
  <c r="B49" i="5"/>
  <c r="D49" i="5"/>
  <c r="F266" i="9" l="1"/>
  <c r="F269" i="9" s="1"/>
  <c r="G266" i="9"/>
  <c r="G269" i="9" s="1"/>
  <c r="F250" i="9"/>
  <c r="G250" i="9"/>
  <c r="E248" i="9"/>
  <c r="E236" i="9"/>
  <c r="G237" i="9"/>
  <c r="G239" i="9" s="1"/>
  <c r="G241" i="9" s="1"/>
  <c r="G242" i="9" s="1"/>
  <c r="G243" i="9" s="1"/>
  <c r="H236" i="9"/>
  <c r="H248" i="9"/>
  <c r="F237" i="9"/>
  <c r="F239" i="9" s="1"/>
  <c r="F241" i="9" s="1"/>
  <c r="F242" i="9" s="1"/>
  <c r="F243" i="9" s="1"/>
  <c r="F276" i="3"/>
  <c r="F510" i="3"/>
  <c r="G132" i="9"/>
  <c r="G139" i="9" s="1"/>
  <c r="F132" i="9"/>
  <c r="F139" i="9" s="1"/>
  <c r="E266" i="9" l="1"/>
  <c r="E269" i="9" s="1"/>
  <c r="H250" i="9"/>
  <c r="E250" i="9"/>
  <c r="G251" i="9"/>
  <c r="G240" i="9"/>
  <c r="H237" i="9"/>
  <c r="H239" i="9" s="1"/>
  <c r="H241" i="9" s="1"/>
  <c r="H242" i="9" s="1"/>
  <c r="H243" i="9" s="1"/>
  <c r="F251" i="9"/>
  <c r="F240" i="9"/>
  <c r="E237" i="9"/>
  <c r="I158" i="9"/>
  <c r="K158" i="9" s="1"/>
  <c r="I162" i="9"/>
  <c r="K162" i="9" s="1"/>
  <c r="I287" i="3"/>
  <c r="E134" i="6"/>
  <c r="I286" i="3"/>
  <c r="I311" i="3" s="1"/>
  <c r="F254" i="9" l="1"/>
  <c r="F255" i="9"/>
  <c r="G254" i="9"/>
  <c r="G255" i="9"/>
  <c r="E239" i="9"/>
  <c r="E251" i="9"/>
  <c r="H251" i="9"/>
  <c r="H240" i="9"/>
  <c r="D134" i="6"/>
  <c r="M307" i="3"/>
  <c r="I312" i="3"/>
  <c r="L312" i="3" s="1"/>
  <c r="E135" i="6"/>
  <c r="E138" i="6" s="1"/>
  <c r="E136" i="6"/>
  <c r="E139" i="6" s="1"/>
  <c r="H255" i="9" l="1"/>
  <c r="H254" i="9"/>
  <c r="E254" i="9"/>
  <c r="E255" i="9"/>
  <c r="E240" i="9"/>
  <c r="E241" i="9"/>
  <c r="E242" i="9" s="1"/>
  <c r="E243" i="9" s="1"/>
  <c r="D136" i="6"/>
  <c r="D139" i="6" s="1"/>
  <c r="D135" i="6"/>
  <c r="D138"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vpamatya</author>
  </authors>
  <commentList>
    <comment ref="L315" authorId="0" shapeId="0" xr:uid="{00000000-0006-0000-0400-000001000000}">
      <text>
        <r>
          <rPr>
            <b/>
            <sz val="8"/>
            <color indexed="81"/>
            <rFont val="Tahoma"/>
            <family val="2"/>
          </rPr>
          <t>vpamatya:</t>
        </r>
        <r>
          <rPr>
            <sz val="8"/>
            <color indexed="81"/>
            <rFont val="Tahoma"/>
            <family val="2"/>
          </rPr>
          <t xml:space="preserve">
Less than I425
</t>
        </r>
      </text>
    </comment>
  </commentList>
</comments>
</file>

<file path=xl/sharedStrings.xml><?xml version="1.0" encoding="utf-8"?>
<sst xmlns="http://schemas.openxmlformats.org/spreadsheetml/2006/main" count="2467" uniqueCount="1071">
  <si>
    <t>X</t>
  </si>
  <si>
    <t>Y</t>
  </si>
  <si>
    <t>A</t>
  </si>
  <si>
    <t>AX</t>
  </si>
  <si>
    <t>AY</t>
  </si>
  <si>
    <t>AXY</t>
  </si>
  <si>
    <t>CROSS SECTIONAL AREA =</t>
  </si>
  <si>
    <t>Ix =</t>
  </si>
  <si>
    <t xml:space="preserve">     CENTROID X =</t>
  </si>
  <si>
    <t xml:space="preserve">     CENTROID Y =</t>
  </si>
  <si>
    <t xml:space="preserve">       SECOND MOMENT OF AREA Ixx =</t>
  </si>
  <si>
    <t>a</t>
  </si>
  <si>
    <t xml:space="preserve">       SECOND MOMENT OF AREA Iyy =</t>
  </si>
  <si>
    <t>Details of Bridge Members:</t>
  </si>
  <si>
    <t>Precasted Beam &amp; RCC insitu slab</t>
  </si>
  <si>
    <t>Type of Beam :</t>
  </si>
  <si>
    <t>I-Beam</t>
  </si>
  <si>
    <t>No. of Beams :</t>
  </si>
  <si>
    <t>Type of construction :</t>
  </si>
  <si>
    <t>m</t>
  </si>
  <si>
    <t>Dead Load</t>
  </si>
  <si>
    <t>cm</t>
  </si>
  <si>
    <t xml:space="preserve"> </t>
  </si>
  <si>
    <t>KNm</t>
  </si>
  <si>
    <t>=</t>
  </si>
  <si>
    <t>KN</t>
  </si>
  <si>
    <t>where,</t>
  </si>
  <si>
    <t>P=</t>
  </si>
  <si>
    <t>First stage Prestress</t>
  </si>
  <si>
    <t>e=</t>
  </si>
  <si>
    <t>eccentricity 1st stage</t>
  </si>
  <si>
    <t>section modulus for bottom fibres for girder only</t>
  </si>
  <si>
    <t>section modulus for top fibres for girder only</t>
  </si>
  <si>
    <t>Ac=</t>
  </si>
  <si>
    <t>area of cross-section of girder</t>
  </si>
  <si>
    <t>n=</t>
  </si>
  <si>
    <t>Loss factor=</t>
  </si>
  <si>
    <t>Dividing eqn. (ii) by (iii), we get</t>
  </si>
  <si>
    <t>Kg</t>
  </si>
  <si>
    <t>Properties of Composite Section</t>
  </si>
  <si>
    <t>Modulas ratio of concrete in slab to concrete in girder</t>
  </si>
  <si>
    <t>Thickness of stiffeners=</t>
  </si>
  <si>
    <t>mm</t>
  </si>
  <si>
    <t xml:space="preserve"> kg</t>
  </si>
  <si>
    <t xml:space="preserve">Stress at </t>
  </si>
  <si>
    <t>cables and grout properties of section</t>
  </si>
  <si>
    <t>Element</t>
  </si>
  <si>
    <t>Area</t>
  </si>
  <si>
    <t>Centroid</t>
  </si>
  <si>
    <t>I</t>
  </si>
  <si>
    <t>Girder</t>
  </si>
  <si>
    <t>Slab</t>
  </si>
  <si>
    <t>Final Stresses</t>
  </si>
  <si>
    <t>Kgm</t>
  </si>
  <si>
    <t>BM</t>
  </si>
  <si>
    <t>Diaphragm</t>
  </si>
  <si>
    <t>First stage prestressing force=</t>
  </si>
  <si>
    <t>kg</t>
  </si>
  <si>
    <t>Kb=</t>
  </si>
  <si>
    <t>Equation of cables</t>
  </si>
  <si>
    <t>Cable No</t>
  </si>
  <si>
    <t>Kerb</t>
  </si>
  <si>
    <t>Railing and Railing Post</t>
  </si>
  <si>
    <t>Railings</t>
  </si>
  <si>
    <t>3 rows of 3" GI pipe</t>
  </si>
  <si>
    <t>Cables</t>
  </si>
  <si>
    <t>Let prestressing force be P at an eccentricity, e</t>
  </si>
  <si>
    <t>solve for 0</t>
  </si>
  <si>
    <t>%</t>
  </si>
  <si>
    <t>Kg/m</t>
  </si>
  <si>
    <t>Wearing Coat</t>
  </si>
  <si>
    <t>Thickness=</t>
  </si>
  <si>
    <t>Distance</t>
  </si>
  <si>
    <t>V2</t>
  </si>
  <si>
    <t>M3</t>
  </si>
  <si>
    <t>max</t>
  </si>
  <si>
    <t>Vehicle</t>
  </si>
  <si>
    <t>sum</t>
  </si>
  <si>
    <t>G1</t>
  </si>
  <si>
    <t>G2</t>
  </si>
  <si>
    <t>G3</t>
  </si>
  <si>
    <t>G4</t>
  </si>
  <si>
    <t>cg of cable</t>
  </si>
  <si>
    <t>Ultimate shear, Vu=</t>
  </si>
  <si>
    <t>Shear resistance Vc is taken as the smaller value of resistance of uncracked section, Vco and cracked section Vcr. Shear resistance is computed at a section 'd' from the support.</t>
  </si>
  <si>
    <t>Resistance of section uncracked in flexure, Vco</t>
  </si>
  <si>
    <t>Vco=</t>
  </si>
  <si>
    <t>fcp=</t>
  </si>
  <si>
    <t>compressive stress at centroidal axis due to prestress</t>
  </si>
  <si>
    <t>Pv=</t>
  </si>
  <si>
    <t>Vertical component of prestress force in cables</t>
  </si>
  <si>
    <t>Resistance of section cracked in flexure</t>
  </si>
  <si>
    <t>Vcr=</t>
  </si>
  <si>
    <t>db=</t>
  </si>
  <si>
    <t>distance from extreme compression fibre to the centroid of tendons in the section considered</t>
  </si>
  <si>
    <t>Mt=</t>
  </si>
  <si>
    <t>Cracking moment at the section</t>
  </si>
  <si>
    <t>fpt=</t>
  </si>
  <si>
    <t>stress due to prestress at the tensile fibre distance y from centroid of concrete section whose moment of inertia is I</t>
  </si>
  <si>
    <t>shear reinforcement:</t>
  </si>
  <si>
    <t>As=</t>
  </si>
  <si>
    <t>areaof two legs of a stirrups</t>
  </si>
  <si>
    <t>Sv=</t>
  </si>
  <si>
    <t>spacing of stirrup</t>
  </si>
  <si>
    <t>dt=</t>
  </si>
  <si>
    <t>Cable No.</t>
  </si>
  <si>
    <t>Distance from bottom fibre(cm)</t>
  </si>
  <si>
    <t>Distance from mid-section(m)</t>
  </si>
  <si>
    <t>Layout of cables First stage Prestressing</t>
  </si>
  <si>
    <t>Mean1</t>
  </si>
  <si>
    <t xml:space="preserve">Lower limit </t>
  </si>
  <si>
    <t xml:space="preserve">Upper limit </t>
  </si>
  <si>
    <t xml:space="preserve"> CG of cables  from bottom fibre</t>
  </si>
  <si>
    <t>Deduction due to change in CG</t>
  </si>
  <si>
    <t>Permissible stress in concrete for prestressed construction</t>
  </si>
  <si>
    <t>a.</t>
  </si>
  <si>
    <t xml:space="preserve">Initial </t>
  </si>
  <si>
    <t>b.</t>
  </si>
  <si>
    <t>Final</t>
  </si>
  <si>
    <t>Permissible stress in high tensile steel</t>
  </si>
  <si>
    <t>II</t>
  </si>
  <si>
    <t>III</t>
  </si>
  <si>
    <t>IV</t>
  </si>
  <si>
    <t xml:space="preserve">Distance of C.g. </t>
  </si>
  <si>
    <t>Following equations will give the values of prestressimg force and eccentricity</t>
  </si>
  <si>
    <t>&gt;</t>
  </si>
  <si>
    <t>Designof Transverse Girder</t>
  </si>
  <si>
    <t>Zb=</t>
  </si>
  <si>
    <t>Zt=</t>
  </si>
  <si>
    <t>Zslab top=</t>
  </si>
  <si>
    <t>yt=</t>
  </si>
  <si>
    <t>ft</t>
  </si>
  <si>
    <t>1.25G+2SG+2.5Q</t>
  </si>
  <si>
    <t>Untensioned Reinforcement</t>
  </si>
  <si>
    <t>Longitudinal steel in girder</t>
  </si>
  <si>
    <t>For End Block</t>
  </si>
  <si>
    <t>Pv</t>
  </si>
  <si>
    <t>Ph</t>
  </si>
  <si>
    <t>Dead Load of Cross- Girder=</t>
  </si>
  <si>
    <t>KN/m</t>
  </si>
  <si>
    <t>Dead Load of Slab=</t>
  </si>
  <si>
    <t>Total Dead Load=</t>
  </si>
  <si>
    <t>Cross girder may be assumed as rigid</t>
  </si>
  <si>
    <t>0.15% of web area</t>
  </si>
  <si>
    <t>From support</t>
  </si>
  <si>
    <t>From mid-span</t>
  </si>
  <si>
    <t>.33 of fck</t>
  </si>
  <si>
    <t>13+12</t>
  </si>
  <si>
    <t>13+11</t>
  </si>
  <si>
    <t>live load</t>
  </si>
  <si>
    <t>10+9</t>
  </si>
  <si>
    <t>10+8</t>
  </si>
  <si>
    <t>Cast in situ+kerb+railing</t>
  </si>
  <si>
    <t>7+5</t>
  </si>
  <si>
    <t>6+1</t>
  </si>
  <si>
    <t>Second stage final</t>
  </si>
  <si>
    <t>Total initial stress due to first and second stage cable</t>
  </si>
  <si>
    <t>1+3</t>
  </si>
  <si>
    <t>1+2</t>
  </si>
  <si>
    <t>Ist stage Prestress Final</t>
  </si>
  <si>
    <t>Ist stage Prestress initial</t>
  </si>
  <si>
    <t>Self wt</t>
  </si>
  <si>
    <t>top</t>
  </si>
  <si>
    <t>bottom</t>
  </si>
  <si>
    <t>Kg/cm2</t>
  </si>
  <si>
    <t>Mpa</t>
  </si>
  <si>
    <t>II + VI</t>
  </si>
  <si>
    <t xml:space="preserve"> Stresses at Top fibre</t>
  </si>
  <si>
    <t>I + V</t>
  </si>
  <si>
    <t>Stresses at bottom fibre</t>
  </si>
  <si>
    <t>Total Initial Stresses at Transfer (before losses) due to 1st &amp; 2nd Stage cables at the time of 2nd stage Pestressing</t>
  </si>
  <si>
    <t>Final  stresses due to 2nd Stage Prestressing after all Loses</t>
  </si>
  <si>
    <t xml:space="preserve">Final forces in 2nd stage Cables after all losses </t>
  </si>
  <si>
    <t xml:space="preserve">Total Losses for 2nd stage cable </t>
  </si>
  <si>
    <t xml:space="preserve"> Loss due to Relaxation of Steel</t>
  </si>
  <si>
    <t>Loss due to Shrinkage for 2nd stage</t>
  </si>
  <si>
    <t>Creep Loss for 2nd stage Cables</t>
  </si>
  <si>
    <r>
      <t>f</t>
    </r>
    <r>
      <rPr>
        <vertAlign val="subscript"/>
        <sz val="12"/>
        <color theme="1"/>
        <rFont val="Calibri"/>
        <family val="2"/>
        <scheme val="minor"/>
      </rPr>
      <t>ave</t>
    </r>
    <r>
      <rPr>
        <sz val="12"/>
        <color theme="1"/>
        <rFont val="Calibri"/>
        <family val="2"/>
        <scheme val="minor"/>
      </rPr>
      <t>,</t>
    </r>
    <r>
      <rPr>
        <vertAlign val="subscript"/>
        <sz val="12"/>
        <color theme="1"/>
        <rFont val="Calibri"/>
        <family val="2"/>
        <scheme val="minor"/>
      </rPr>
      <t xml:space="preserve">cable </t>
    </r>
    <r>
      <rPr>
        <sz val="12"/>
        <color theme="1"/>
        <rFont val="Calibri"/>
        <family val="2"/>
        <scheme val="minor"/>
      </rPr>
      <t>= 0.5*(P/A +fcable)</t>
    </r>
  </si>
  <si>
    <t>Hence, Average stress at C.G of Cables</t>
  </si>
  <si>
    <t xml:space="preserve"> IV +VIII</t>
  </si>
  <si>
    <t xml:space="preserve">Total Direct Stress at Support </t>
  </si>
  <si>
    <r>
      <t>f</t>
    </r>
    <r>
      <rPr>
        <vertAlign val="subscript"/>
        <sz val="12"/>
        <color theme="1"/>
        <rFont val="Calibri"/>
        <family val="2"/>
        <scheme val="minor"/>
      </rPr>
      <t>cable</t>
    </r>
  </si>
  <si>
    <t>Net stress at C.G at midspan</t>
  </si>
  <si>
    <t>Release in compression at the same lvl due to self wt. Of girder</t>
  </si>
  <si>
    <t>Total Stresses at C.G of 2nd stage Cables due to 1st &amp; 2nd stage Prestressing = III + VII</t>
  </si>
  <si>
    <t>Net stresses due to 1st stage &amp; 2nd Stage Cables</t>
  </si>
  <si>
    <t>vi)</t>
  </si>
  <si>
    <t>P/A</t>
  </si>
  <si>
    <t xml:space="preserve">Direct Stress at Support </t>
  </si>
  <si>
    <t>VIII</t>
  </si>
  <si>
    <t>Stress at C.G of 2nd Stage Cables</t>
  </si>
  <si>
    <t>VII</t>
  </si>
  <si>
    <t xml:space="preserve">ft =P/A -P*e/Zt </t>
  </si>
  <si>
    <t>VI</t>
  </si>
  <si>
    <t>fb =P/A +P*e/Zb</t>
  </si>
  <si>
    <t>V</t>
  </si>
  <si>
    <t xml:space="preserve">Stresses due to 1st stage Cables are </t>
  </si>
  <si>
    <t xml:space="preserve">Actual force in 1st Stage Cables at the time of 2nd stage Prestressing  </t>
  </si>
  <si>
    <t>Total Losses for 1st stage cable till 2nd stage of prestressing</t>
  </si>
  <si>
    <t>% Loss due to Elastic Shortening</t>
  </si>
  <si>
    <r>
      <t>0.5*m*f</t>
    </r>
    <r>
      <rPr>
        <vertAlign val="subscript"/>
        <sz val="12"/>
        <color theme="1"/>
        <rFont val="Calibri"/>
        <family val="2"/>
        <scheme val="minor"/>
      </rPr>
      <t>ave,cable</t>
    </r>
  </si>
  <si>
    <t>Loss of Prestress due to Elastic Shortening</t>
  </si>
  <si>
    <t>Average stress due to 2nd stage Prestressing</t>
  </si>
  <si>
    <t>m = Es/Ec</t>
  </si>
  <si>
    <t>Modular Ratio</t>
  </si>
  <si>
    <t>Elastic Shortening of 1st Stage cables due to 2nd stage Prestressing is computed by approximate method as per Section 11.1 of IRC :18</t>
  </si>
  <si>
    <t>4)</t>
  </si>
  <si>
    <t>Loss due to Creep in Concrete</t>
  </si>
  <si>
    <t>Assuming The Strength of Concrete at 90% of Fck during the time of 2nd Prestessing at 21 days</t>
  </si>
  <si>
    <t>per 10Mpa</t>
  </si>
  <si>
    <t>mm/mm</t>
  </si>
  <si>
    <r>
      <rPr>
        <sz val="12"/>
        <color theme="1"/>
        <rFont val="Symbol"/>
        <family val="1"/>
        <charset val="2"/>
      </rPr>
      <t>e</t>
    </r>
    <r>
      <rPr>
        <vertAlign val="subscript"/>
        <sz val="12"/>
        <color theme="1"/>
        <rFont val="Calibri"/>
        <family val="2"/>
        <scheme val="minor"/>
      </rPr>
      <t>c</t>
    </r>
  </si>
  <si>
    <t xml:space="preserve">Creep Strain </t>
  </si>
  <si>
    <t>3)</t>
  </si>
  <si>
    <t>Loss due to Shrinkage of Concrete occuring between 2 stages</t>
  </si>
  <si>
    <t>2)</t>
  </si>
  <si>
    <r>
      <rPr>
        <sz val="12"/>
        <color theme="1"/>
        <rFont val="Symbol"/>
        <family val="1"/>
        <charset val="2"/>
      </rPr>
      <t>e</t>
    </r>
    <r>
      <rPr>
        <vertAlign val="subscript"/>
        <sz val="12"/>
        <color theme="1"/>
        <rFont val="Calibri"/>
        <family val="2"/>
        <scheme val="minor"/>
      </rPr>
      <t>sh</t>
    </r>
  </si>
  <si>
    <t>Starin due to Residual Shrinkage at the time of stressing between 2 stages</t>
  </si>
  <si>
    <t>% Loss due to Relaxation of Steel</t>
  </si>
  <si>
    <t>1)</t>
  </si>
  <si>
    <t>The losses that the 1st stage cables must have incurred during the interval between 1st &amp; 2nd stages are calculated and the exact forces of these cables at the time of 2nd stage of Prestressing are determined</t>
  </si>
  <si>
    <t>Stress due to first stage cables</t>
  </si>
  <si>
    <t>v)</t>
  </si>
  <si>
    <t>Stress at C.G of Cables</t>
  </si>
  <si>
    <t xml:space="preserve">Initial Stress before loss due to 2nd stage Cables are obtained by proportion </t>
  </si>
  <si>
    <t>no of cable SS/FS</t>
  </si>
  <si>
    <t>Proportion</t>
  </si>
  <si>
    <t xml:space="preserve"> = </t>
  </si>
  <si>
    <t>e</t>
  </si>
  <si>
    <t>Eccentricity</t>
  </si>
  <si>
    <r>
      <t>C.G</t>
    </r>
    <r>
      <rPr>
        <vertAlign val="subscript"/>
        <sz val="11"/>
        <color theme="1"/>
        <rFont val="Calibri"/>
        <family val="2"/>
        <scheme val="minor"/>
      </rPr>
      <t>girdle</t>
    </r>
  </si>
  <si>
    <t>Centroid of Girdle</t>
  </si>
  <si>
    <t>Initial force per Cable</t>
  </si>
  <si>
    <t>This is done after 21 days of concreting the girder. It s assumed that concrete will gain 90% of 28 days strength at 21 days</t>
  </si>
  <si>
    <t>Second stage of prestressing</t>
  </si>
  <si>
    <t>iv)</t>
  </si>
  <si>
    <t>Direct Stress at Support</t>
  </si>
  <si>
    <t>Final Stress at C.G of Cables</t>
  </si>
  <si>
    <t>Final Stresses at Top fibre</t>
  </si>
  <si>
    <t>Final Stresses at bottom fibre</t>
  </si>
  <si>
    <t>Final forces after loss due to Creep &amp; Shrinkage &amp; Relaxation of Steel</t>
  </si>
  <si>
    <t>Total Losses</t>
  </si>
  <si>
    <t>Coefficient</t>
  </si>
  <si>
    <t>IRC-18</t>
  </si>
  <si>
    <t>for Initial stress = 0.6*fu</t>
  </si>
  <si>
    <t xml:space="preserve"> % Relaxation loss of Steel</t>
  </si>
  <si>
    <t>Loss due to Relaxation of Steel corresponding to average initial stress of 0.6*ultimate strength is assumed as per Irc:18</t>
  </si>
  <si>
    <t>% of loss due to Shrinkage</t>
  </si>
  <si>
    <t>Loss in stress due to Shrinkage</t>
  </si>
  <si>
    <t>Loss due to Shrinkage of Concrete</t>
  </si>
  <si>
    <t>% of loss due to Creep</t>
  </si>
  <si>
    <t>Assuming The Strength of Concrete at 60% of Fck during the time of 1st Prestessing at 4 days</t>
  </si>
  <si>
    <t>Average stress at Centroid of Cables</t>
  </si>
  <si>
    <t>xc =xb-C.G</t>
  </si>
  <si>
    <t>Distance of N.A at bottom at centroid of cables</t>
  </si>
  <si>
    <t>xb = D-xt</t>
  </si>
  <si>
    <t>Distance of N.A from bottom fibre</t>
  </si>
  <si>
    <t>xt =</t>
  </si>
  <si>
    <t>Distance of N.A from top fibe</t>
  </si>
  <si>
    <t xml:space="preserve"> Stress due to prestress at top fibre</t>
  </si>
  <si>
    <t xml:space="preserve"> Stress due to prestress at bottom fibre</t>
  </si>
  <si>
    <r>
      <t>ft =P/A -P*e/Zt +M</t>
    </r>
    <r>
      <rPr>
        <vertAlign val="subscript"/>
        <sz val="12"/>
        <color theme="1"/>
        <rFont val="Calibri"/>
        <family val="2"/>
        <scheme val="minor"/>
      </rPr>
      <t>dl</t>
    </r>
    <r>
      <rPr>
        <sz val="12"/>
        <color theme="1"/>
        <rFont val="Calibri"/>
        <family val="2"/>
        <scheme val="minor"/>
      </rPr>
      <t xml:space="preserve">/Zt </t>
    </r>
  </si>
  <si>
    <t>Total Stress at Top fibre</t>
  </si>
  <si>
    <r>
      <t>fb =P/A +P*e/Zb -M</t>
    </r>
    <r>
      <rPr>
        <vertAlign val="subscript"/>
        <sz val="12"/>
        <color theme="1"/>
        <rFont val="Calibri"/>
        <family val="2"/>
        <scheme val="minor"/>
      </rPr>
      <t>dl</t>
    </r>
    <r>
      <rPr>
        <sz val="12"/>
        <color theme="1"/>
        <rFont val="Calibri"/>
        <family val="2"/>
        <scheme val="minor"/>
      </rPr>
      <t xml:space="preserve">/Zb </t>
    </r>
  </si>
  <si>
    <t>Total Stress at bottom fibre</t>
  </si>
  <si>
    <t>Initial Stresses at Transfer obtained as the sum of strsses due to Prestress &amp; stress due to Dead load</t>
  </si>
  <si>
    <r>
      <t>M</t>
    </r>
    <r>
      <rPr>
        <vertAlign val="subscript"/>
        <sz val="11"/>
        <color theme="1"/>
        <rFont val="Calibri"/>
        <family val="2"/>
        <scheme val="minor"/>
      </rPr>
      <t>dl</t>
    </r>
    <r>
      <rPr>
        <sz val="10"/>
        <rFont val="Arial"/>
        <family val="2"/>
      </rPr>
      <t>/Zt</t>
    </r>
  </si>
  <si>
    <t>Stresses due to Dead load at bottom</t>
  </si>
  <si>
    <r>
      <t>M</t>
    </r>
    <r>
      <rPr>
        <vertAlign val="subscript"/>
        <sz val="11"/>
        <color theme="1"/>
        <rFont val="Calibri"/>
        <family val="2"/>
        <scheme val="minor"/>
      </rPr>
      <t>dl</t>
    </r>
    <r>
      <rPr>
        <sz val="10"/>
        <rFont val="Arial"/>
        <family val="2"/>
      </rPr>
      <t>/Zb</t>
    </r>
  </si>
  <si>
    <t>mm4</t>
  </si>
  <si>
    <t>Zt</t>
  </si>
  <si>
    <t>Sectional Modulus at top Fibre</t>
  </si>
  <si>
    <t>mm3</t>
  </si>
  <si>
    <t>Zb</t>
  </si>
  <si>
    <t>Sectional Modulus at bottom Fibre</t>
  </si>
  <si>
    <t>mm2</t>
  </si>
  <si>
    <t>N</t>
  </si>
  <si>
    <t>P</t>
  </si>
  <si>
    <t>Forces for Cables</t>
  </si>
  <si>
    <r>
      <t>e = C.G</t>
    </r>
    <r>
      <rPr>
        <vertAlign val="subscript"/>
        <sz val="11"/>
        <color theme="1"/>
        <rFont val="Calibri"/>
        <family val="2"/>
        <scheme val="minor"/>
      </rPr>
      <t>girdle</t>
    </r>
    <r>
      <rPr>
        <sz val="10"/>
        <rFont val="Arial"/>
        <family val="2"/>
      </rPr>
      <t>- C.G</t>
    </r>
  </si>
  <si>
    <t>C.G</t>
  </si>
  <si>
    <t>C.G of cables from bottom</t>
  </si>
  <si>
    <t>D</t>
  </si>
  <si>
    <t>X-sectional Depth</t>
  </si>
  <si>
    <t>Loss due to Creep</t>
  </si>
  <si>
    <t xml:space="preserve">1) </t>
  </si>
  <si>
    <t>This is done after 4 days of concreting the girder. It s assumed that concrete will gain 60% of 28 days strength at 4 days</t>
  </si>
  <si>
    <t>First stage of prestressing</t>
  </si>
  <si>
    <t>iii)</t>
  </si>
  <si>
    <t xml:space="preserve">ft = </t>
  </si>
  <si>
    <t>Permissible tensile stress</t>
  </si>
  <si>
    <r>
      <t>fc = 0.33*f</t>
    </r>
    <r>
      <rPr>
        <vertAlign val="subscript"/>
        <sz val="12"/>
        <color theme="1"/>
        <rFont val="Calibri"/>
        <family val="2"/>
        <scheme val="minor"/>
      </rPr>
      <t>ck</t>
    </r>
  </si>
  <si>
    <t>Permissible Compressive stress</t>
  </si>
  <si>
    <t>At service conditions</t>
  </si>
  <si>
    <t>c)</t>
  </si>
  <si>
    <r>
      <t>ft = 0.05*f</t>
    </r>
    <r>
      <rPr>
        <vertAlign val="subscript"/>
        <sz val="12"/>
        <color theme="1"/>
        <rFont val="Calibri"/>
        <family val="2"/>
        <scheme val="minor"/>
      </rPr>
      <t>cj</t>
    </r>
  </si>
  <si>
    <r>
      <t>fc = 0.5*f</t>
    </r>
    <r>
      <rPr>
        <vertAlign val="subscript"/>
        <sz val="12"/>
        <color theme="1"/>
        <rFont val="Calibri"/>
        <family val="2"/>
        <scheme val="minor"/>
      </rPr>
      <t>cj</t>
    </r>
  </si>
  <si>
    <r>
      <t>f</t>
    </r>
    <r>
      <rPr>
        <vertAlign val="subscript"/>
        <sz val="12"/>
        <color theme="1"/>
        <rFont val="Calibri"/>
        <family val="2"/>
        <scheme val="minor"/>
      </rPr>
      <t>cj</t>
    </r>
    <r>
      <rPr>
        <sz val="12"/>
        <color theme="1"/>
        <rFont val="Calibri"/>
        <family val="2"/>
        <scheme val="minor"/>
      </rPr>
      <t xml:space="preserve"> = 0.9*f</t>
    </r>
    <r>
      <rPr>
        <vertAlign val="subscript"/>
        <sz val="12"/>
        <color theme="1"/>
        <rFont val="Calibri"/>
        <family val="2"/>
        <scheme val="minor"/>
      </rPr>
      <t>ck</t>
    </r>
  </si>
  <si>
    <t>The strength of Concrete at Transfer</t>
  </si>
  <si>
    <t>At 21 days for second stage prestressing</t>
  </si>
  <si>
    <t>b)</t>
  </si>
  <si>
    <r>
      <t>f</t>
    </r>
    <r>
      <rPr>
        <vertAlign val="subscript"/>
        <sz val="12"/>
        <color theme="1"/>
        <rFont val="Calibri"/>
        <family val="2"/>
        <scheme val="minor"/>
      </rPr>
      <t>cj</t>
    </r>
    <r>
      <rPr>
        <sz val="12"/>
        <color theme="1"/>
        <rFont val="Calibri"/>
        <family val="2"/>
        <scheme val="minor"/>
      </rPr>
      <t xml:space="preserve"> = 0.6*f</t>
    </r>
    <r>
      <rPr>
        <vertAlign val="subscript"/>
        <sz val="12"/>
        <color theme="1"/>
        <rFont val="Calibri"/>
        <family val="2"/>
        <scheme val="minor"/>
      </rPr>
      <t>ck</t>
    </r>
  </si>
  <si>
    <t>At 4 days for first stage prestressing</t>
  </si>
  <si>
    <t>a)</t>
  </si>
  <si>
    <t>Permissible stresses in Concrete</t>
  </si>
  <si>
    <t>ii)</t>
  </si>
  <si>
    <t>Nos of Cables provided</t>
  </si>
  <si>
    <t xml:space="preserve">Fa =n*ast*fa </t>
  </si>
  <si>
    <t>Allowable force at transfer for one Cable</t>
  </si>
  <si>
    <t>1 cable</t>
  </si>
  <si>
    <t xml:space="preserve"> fa= fu*%</t>
  </si>
  <si>
    <t>Allowable stress  in steel before allowable for creep &amp; Shrinkage (Initial Stress)</t>
  </si>
  <si>
    <t>Assumed % of ultimate stress for allowable stress before Creep &amp; Shrinkage</t>
  </si>
  <si>
    <t>fu</t>
  </si>
  <si>
    <t xml:space="preserve">n </t>
  </si>
  <si>
    <t>NOs of high tensile wire</t>
  </si>
  <si>
    <t>f</t>
  </si>
  <si>
    <t>Dia of high tensile wire</t>
  </si>
  <si>
    <t xml:space="preserve">                                                                                                                                                                                                                                                                                                                                                                                                                                                                                                                                                                                                                                                                                                                                                                                                                                                                                                                                                                                                                                                                                                                                                                                                                                                                                                                                                                                                                                                                                                                                                                                                                                                                                                                                                                                                                                                                                                                                                                                                                                                                                                                                                                                                                                                                                                                                                                                                                                                                                                                                                                                                                                                                                                                                                                                                                                                                                                                                                                                                                                                                                                                                                                                                                                                                                                                                                                                                                                                                                                                                                                                                                                                                                                                                                                                                                                                                                                                                                                                                                                                                                                                                                                                                                                                                                                                                                                                                                                                                                                                                                                                                                                                                                                                                                                                                                                                                                                                                                                                                                                                                                                                                                                                                                                                                                                                                                                                                                                                                                                                                                                                                                                                                                                                                                                                                                                                                                                                                                                                                                                                                                                        </t>
  </si>
  <si>
    <t>i)</t>
  </si>
  <si>
    <r>
      <t>Ec = 5700*</t>
    </r>
    <r>
      <rPr>
        <sz val="12"/>
        <color theme="1"/>
        <rFont val="Calibri"/>
        <family val="2"/>
      </rPr>
      <t>√</t>
    </r>
    <r>
      <rPr>
        <sz val="12"/>
        <color theme="1"/>
        <rFont val="Calibri"/>
        <family val="2"/>
        <scheme val="minor"/>
      </rPr>
      <t>fck</t>
    </r>
  </si>
  <si>
    <t>Modulus of Elasticity of Conctete</t>
  </si>
  <si>
    <t>Es</t>
  </si>
  <si>
    <t>Modulus of Elasticity of Steel</t>
  </si>
  <si>
    <r>
      <t>f</t>
    </r>
    <r>
      <rPr>
        <vertAlign val="subscript"/>
        <sz val="12"/>
        <color theme="1"/>
        <rFont val="Calibri"/>
        <family val="2"/>
        <scheme val="minor"/>
      </rPr>
      <t>ck</t>
    </r>
  </si>
  <si>
    <t xml:space="preserve">Grade of controlled Concrete (Charrecteristic Strength of Concrete) </t>
  </si>
  <si>
    <t>Datas</t>
  </si>
  <si>
    <t>Losses In Prestress</t>
  </si>
  <si>
    <t xml:space="preserve">t </t>
  </si>
  <si>
    <t xml:space="preserve">M = Mb  ie </t>
  </si>
  <si>
    <t>Nmm</t>
  </si>
  <si>
    <t xml:space="preserve">Maximum cantilever moment for the strip </t>
  </si>
  <si>
    <t>l</t>
  </si>
  <si>
    <t>Projection length from cable plate</t>
  </si>
  <si>
    <t>No of cable requred for the first stage.</t>
  </si>
  <si>
    <t>No of Cable provided</t>
  </si>
  <si>
    <t>C.G  of Cables above bottom</t>
  </si>
  <si>
    <t>Centroid of Girder</t>
  </si>
  <si>
    <t>Comb</t>
  </si>
  <si>
    <t xml:space="preserve">Bending Moment </t>
  </si>
  <si>
    <t>Total width</t>
  </si>
  <si>
    <t xml:space="preserve">Beam Spacing (s) </t>
  </si>
  <si>
    <t>cantilever</t>
  </si>
  <si>
    <t>Spacing of Cross girder</t>
  </si>
  <si>
    <t>Unit weight of concrete</t>
  </si>
  <si>
    <t>compressive strength</t>
  </si>
  <si>
    <t>Tensile strength</t>
  </si>
  <si>
    <t>Temporary</t>
  </si>
  <si>
    <t>Permanent</t>
  </si>
  <si>
    <t>Permissible stress in mild steel reinforcement</t>
  </si>
  <si>
    <t>Width</t>
  </si>
  <si>
    <t>Height</t>
  </si>
  <si>
    <t>pedestraian Live Load</t>
  </si>
  <si>
    <t>Total kerb Load</t>
  </si>
  <si>
    <t>Breadth</t>
  </si>
  <si>
    <t>Load</t>
  </si>
  <si>
    <t>Spacing Centre to Centre</t>
  </si>
  <si>
    <t>Density of GI pipe</t>
  </si>
  <si>
    <t>Load in per railing post</t>
  </si>
  <si>
    <t>Railing PosT</t>
  </si>
  <si>
    <t xml:space="preserve">Top flange width </t>
  </si>
  <si>
    <t>Bottom flange width</t>
  </si>
  <si>
    <t xml:space="preserve">Web thickness </t>
  </si>
  <si>
    <t xml:space="preserve">Cross-Sectional area of Girder </t>
  </si>
  <si>
    <t xml:space="preserve">Centroid X </t>
  </si>
  <si>
    <t xml:space="preserve"> Centroid Y </t>
  </si>
  <si>
    <t xml:space="preserve"> SECOND MOMENT OF AREA Ixx </t>
  </si>
  <si>
    <t xml:space="preserve"> SECOND MOMENT OF AREA Iyy </t>
  </si>
  <si>
    <t>Stiffners</t>
  </si>
  <si>
    <t>Thickness of Diaphragm</t>
  </si>
  <si>
    <t xml:space="preserve">Cross-Sectonal area of stiffner </t>
  </si>
  <si>
    <t>Load due to stiffeners</t>
  </si>
  <si>
    <t xml:space="preserve">Cross-Sectional area of diaphragm </t>
  </si>
  <si>
    <t>Load due to diaphragm</t>
  </si>
  <si>
    <t>Load per girder (End Girder)</t>
  </si>
  <si>
    <t>Load per girder (Middle Girder)</t>
  </si>
  <si>
    <t>Force of cable</t>
  </si>
  <si>
    <t>Effective flange width considering modular ratio</t>
  </si>
  <si>
    <t xml:space="preserve">CENTROID X </t>
  </si>
  <si>
    <t xml:space="preserve"> CENTROID Y </t>
  </si>
  <si>
    <t xml:space="preserve">SECOND MOMENT OF AREA Ixx </t>
  </si>
  <si>
    <t xml:space="preserve">SECOND MOMENT OF AREA Iyy </t>
  </si>
  <si>
    <t>Substituting this value of e , to calculate initial prestress force in eqn II</t>
  </si>
  <si>
    <t>Total prestress force</t>
  </si>
  <si>
    <t xml:space="preserve">                                     </t>
  </si>
  <si>
    <t>hole</t>
  </si>
  <si>
    <t>cover</t>
  </si>
  <si>
    <t>Eccentricity, e</t>
  </si>
  <si>
    <t>Initial prestress</t>
  </si>
  <si>
    <t xml:space="preserve">Average thicknes of slab </t>
  </si>
  <si>
    <t>Available flange width</t>
  </si>
  <si>
    <t>Equivalent slab length (composite section)</t>
  </si>
  <si>
    <t>X-sectional Area of Girder</t>
  </si>
  <si>
    <t>Prestressing force and eccentricity for First stage prestressing(Trial)</t>
  </si>
  <si>
    <t>Dia</t>
  </si>
  <si>
    <t>horizontal spacing</t>
  </si>
  <si>
    <t>vertical spacing</t>
  </si>
  <si>
    <t>horiz. space</t>
  </si>
  <si>
    <t>vert. space</t>
  </si>
  <si>
    <t>Calculated eccentricity, e</t>
  </si>
  <si>
    <t>Available eccentricity, e</t>
  </si>
  <si>
    <t>trial</t>
  </si>
  <si>
    <t>Nos of Cables stressed for Ist stage</t>
  </si>
  <si>
    <t>Ist stage Prestressing Force, P=</t>
  </si>
  <si>
    <t>prov.</t>
  </si>
  <si>
    <t>req</t>
  </si>
  <si>
    <t>CG from the bottom</t>
  </si>
  <si>
    <t>Distance of Kb from bottom</t>
  </si>
  <si>
    <t>Distance of Kt from bottom</t>
  </si>
  <si>
    <t>.5 of fck</t>
  </si>
  <si>
    <t>Kt</t>
  </si>
  <si>
    <t>provided</t>
  </si>
  <si>
    <t>spacing</t>
  </si>
  <si>
    <t>Load on cross-girder</t>
  </si>
  <si>
    <t>Reaction on each girder</t>
  </si>
  <si>
    <t>Dead Load Bending Moment</t>
  </si>
  <si>
    <t>Total Design Bending Moment</t>
  </si>
  <si>
    <t>Design Shear Force</t>
  </si>
  <si>
    <t>Effective depth</t>
  </si>
  <si>
    <t>Area of steel</t>
  </si>
  <si>
    <t>Provide bars of dia</t>
  </si>
  <si>
    <t>No. of bars</t>
  </si>
  <si>
    <t>shear stress</t>
  </si>
  <si>
    <t>Nominal Shear Reinforcement</t>
  </si>
  <si>
    <t>Live Load Bending moment including impact</t>
  </si>
  <si>
    <t>Depth of section</t>
  </si>
  <si>
    <t>Carriageway</t>
  </si>
  <si>
    <t>Thickness of slab</t>
  </si>
  <si>
    <t>b</t>
  </si>
  <si>
    <t>s</t>
  </si>
  <si>
    <t>d</t>
  </si>
  <si>
    <t>t</t>
  </si>
  <si>
    <t>Impact factor</t>
  </si>
  <si>
    <t>R</t>
  </si>
  <si>
    <t>tc</t>
  </si>
  <si>
    <t>Prestressed  Beam</t>
  </si>
  <si>
    <t>Properties of Precasted Girder</t>
  </si>
  <si>
    <t>Cube strength: Precast Beam</t>
  </si>
  <si>
    <t>Insitu concrete</t>
  </si>
  <si>
    <t>Strain due to Residual Shrinkage at the time of stressing during 4 days</t>
  </si>
  <si>
    <t xml:space="preserve">Post - Tensioning: </t>
  </si>
  <si>
    <t>Creep strain(ec)</t>
  </si>
  <si>
    <t>Properties of Steel Strand</t>
  </si>
  <si>
    <t>Tesnsioned Steel</t>
  </si>
  <si>
    <t>Untesioned steel</t>
  </si>
  <si>
    <t>c.</t>
  </si>
  <si>
    <t xml:space="preserve">Design for Girder </t>
  </si>
  <si>
    <t>Deduction due to change of  CG.</t>
  </si>
  <si>
    <t xml:space="preserve">Properties of Composite section </t>
  </si>
  <si>
    <t>Table 6 : Cable Zone in Girder</t>
  </si>
  <si>
    <t>Shear Reinforcement</t>
  </si>
  <si>
    <t>Table 19 : Calculation of Shear Reinforcement</t>
  </si>
  <si>
    <t>Table 20 : Summary of Stresses At Mid Span of Girder</t>
  </si>
  <si>
    <t>Gider and cables</t>
  </si>
  <si>
    <t>Total length of Girder</t>
  </si>
  <si>
    <t>Effective Length of Girder (Le)</t>
  </si>
  <si>
    <t>Alowable bending stress in steel(Mild Steel)</t>
  </si>
  <si>
    <t>dia. Of bar</t>
  </si>
  <si>
    <t>NOTES</t>
  </si>
  <si>
    <t>The length of cables indicated are measured along profile between mid span and end of precast girder only.Additional length required for attaching jack is to be added in consultation with manufacturer.</t>
  </si>
  <si>
    <t>The prestressing steel and accessories shall be subjected to an acceptance test prior to their actual use on the works (guidance may be taken from BS:4447).Only multistrand jacks shall be used for tensioning of cables.Direct and indirect force measurement device (e.g. Pressure Gauge) to be attached  in consultation with system manufacturer.</t>
  </si>
  <si>
    <t>The sequence of stressing of prestresing cables shall be as follows:                                      Stage1 Nos 1,2,3,4 &amp; 5(4 days after casting of girder or achieving 60% cube strength which ever is lateer)                                                          Stage 2 Nos 6,7,8 &amp;9(21th day after casting of girder or achieving 100% cube strength which ever is later)</t>
  </si>
  <si>
    <t>Deck slab is cast after 56 days of casting of girder.</t>
  </si>
  <si>
    <t>All cables shall be grouted as soon as stressing is completed</t>
  </si>
  <si>
    <t>Sheathing duct joints and grouting of ducts shll be as per Appendix-2 &amp; 5 of IRC - 18 : 2000</t>
  </si>
  <si>
    <t>Reinforcement in End Block region may be suitably adjusted at locations where it interfaces with cable anchorages.</t>
  </si>
  <si>
    <t>The extensions indicated are for portion of cables lying between midspan and end faces of precast girder only. Additional extension for portion lying between end face and gripping(point of jack is to be added approximately 7mm/m)</t>
  </si>
  <si>
    <t>Concrete Mix M : 35                                                High Tensile  Steel bar conforming to IS: 2090 shall be used</t>
  </si>
  <si>
    <t>Sheathing shall be of  Galvanised type 50mm Φ for 12nos. strands of 8mm Φ   manufactured from minimum 0.4mm thick for 50 Φ duct galvanised</t>
  </si>
  <si>
    <t>Unit weight of asphalt</t>
  </si>
  <si>
    <t>Consider</t>
  </si>
  <si>
    <t>(Zb)min</t>
  </si>
  <si>
    <t>Ft</t>
  </si>
  <si>
    <t>Fci</t>
  </si>
  <si>
    <t>Fti</t>
  </si>
  <si>
    <t>Fc</t>
  </si>
  <si>
    <t>Dmin</t>
  </si>
  <si>
    <t>mm^3</t>
  </si>
  <si>
    <t>(Mt-(Rmo)/(Ft-Rfci)</t>
  </si>
  <si>
    <t>αt</t>
  </si>
  <si>
    <t>αb</t>
  </si>
  <si>
    <t>emax</t>
  </si>
  <si>
    <t>1/pi</t>
  </si>
  <si>
    <t>N-1</t>
  </si>
  <si>
    <t>1/Pi&lt;=(R(αbe+1)/(-AFt+αbMsus)</t>
  </si>
  <si>
    <t>X bar</t>
  </si>
  <si>
    <t>1/αb</t>
  </si>
  <si>
    <t>1/αt</t>
  </si>
  <si>
    <t>-</t>
  </si>
  <si>
    <t>Pi,min</t>
  </si>
  <si>
    <t>No of cables</t>
  </si>
  <si>
    <t>nos.</t>
  </si>
  <si>
    <t>mm-1</t>
  </si>
  <si>
    <t>prestress Losses</t>
  </si>
  <si>
    <t>Immediate losses</t>
  </si>
  <si>
    <t>Pj-Pi</t>
  </si>
  <si>
    <t>Elastic deformation losses</t>
  </si>
  <si>
    <t>delSp=EpScp/Ec</t>
  </si>
  <si>
    <t>Time dependent losses</t>
  </si>
  <si>
    <t>Shrinkage losses</t>
  </si>
  <si>
    <t>delSp=eshEp</t>
  </si>
  <si>
    <t>Scp</t>
  </si>
  <si>
    <t>Pj(10% immediate loss)</t>
  </si>
  <si>
    <t>maximum ecentricity at intersection of eq 3.5 &amp; 3.7</t>
  </si>
  <si>
    <t>using eqn 3.7, Pi,min</t>
  </si>
  <si>
    <t>Initial Prestress in each cable</t>
  </si>
  <si>
    <t>delSp=</t>
  </si>
  <si>
    <t>% of loss</t>
  </si>
  <si>
    <t>Area of cables</t>
  </si>
  <si>
    <t>sqcm</t>
  </si>
  <si>
    <t>Modulus of Elasticity of Conctete(Eic)</t>
  </si>
  <si>
    <t>Modulus Ratio Epc/Eic</t>
  </si>
  <si>
    <t xml:space="preserve">Modulus Ratio Es/Epc </t>
  </si>
  <si>
    <t>Effective width of flange</t>
  </si>
  <si>
    <t xml:space="preserve">Thickness of slab </t>
  </si>
  <si>
    <t>Ztpc</t>
  </si>
  <si>
    <t>Zbpc</t>
  </si>
  <si>
    <t>A/Ztpc</t>
  </si>
  <si>
    <t>A/Zbpc</t>
  </si>
  <si>
    <t>1/Pi&gt;=(αte-1)/(ApcFti+αtM1)</t>
  </si>
  <si>
    <t>1/Pi&gt;=(αbe+1)/(-ApcFci+αbM1)</t>
  </si>
  <si>
    <t>1/Pi&lt;=(R(αbe+1)/(-ApcFt+αbM3)</t>
  </si>
  <si>
    <t>1/Pi&lt;=(R(αte-1)/(ApcFc+αtM3)</t>
  </si>
  <si>
    <t>M1</t>
  </si>
  <si>
    <t>epc,available</t>
  </si>
  <si>
    <t>Impact factor=</t>
  </si>
  <si>
    <t>Girder+stiffner</t>
  </si>
  <si>
    <t>end diaph</t>
  </si>
  <si>
    <t>mid</t>
  </si>
  <si>
    <t>spane</t>
  </si>
  <si>
    <t>tspan</t>
  </si>
  <si>
    <t>w perm</t>
  </si>
  <si>
    <t>Reaction</t>
  </si>
  <si>
    <t>Radian</t>
  </si>
  <si>
    <t>cable</t>
  </si>
  <si>
    <t>Coefficient of friction</t>
  </si>
  <si>
    <t>Pj</t>
  </si>
  <si>
    <t>stiffner</t>
  </si>
  <si>
    <t>thicken web</t>
  </si>
  <si>
    <t>Minimum spacing of 200mm</t>
  </si>
  <si>
    <t>Φ</t>
  </si>
  <si>
    <t>strength reduction factor</t>
  </si>
  <si>
    <t>β4</t>
  </si>
  <si>
    <t>β5</t>
  </si>
  <si>
    <t>Φvuf=</t>
  </si>
  <si>
    <t>Top of precast girder is kept rough</t>
  </si>
  <si>
    <t>Eps</t>
  </si>
  <si>
    <t>Aps</t>
  </si>
  <si>
    <t xml:space="preserve">fb=0.48fcjsqrt(A2/A1)or 0.8fcj </t>
  </si>
  <si>
    <t>Permissible Bearing stress behind anchorage</t>
  </si>
  <si>
    <t>A1=</t>
  </si>
  <si>
    <t>A2=</t>
  </si>
  <si>
    <t>Design bearing strength</t>
  </si>
  <si>
    <t>increase by 50%</t>
  </si>
  <si>
    <t>Using a load factor 1.15 for prestress</t>
  </si>
  <si>
    <t>50% increase transveres reiforcement is provided</t>
  </si>
  <si>
    <t>Design of Expansion Joint for superstructure</t>
  </si>
  <si>
    <t>LONGITUDINAL MOVEMENT AT END EXPANSION JOINT ON ABUTMENT :</t>
  </si>
  <si>
    <t>Length of bridge(L)</t>
  </si>
  <si>
    <t xml:space="preserve"> m</t>
  </si>
  <si>
    <t>Concrete</t>
  </si>
  <si>
    <t xml:space="preserve">fb </t>
  </si>
  <si>
    <t>(assumed)</t>
  </si>
  <si>
    <t xml:space="preserve">T </t>
  </si>
  <si>
    <t>+/-</t>
  </si>
  <si>
    <t xml:space="preserve"> mm</t>
  </si>
  <si>
    <t>------------------------</t>
  </si>
  <si>
    <t>+</t>
  </si>
  <si>
    <t>----------------------------------------------------------------</t>
  </si>
  <si>
    <t xml:space="preserve">Therefore, provide Elastomeric Strip Seal type of expansion joints </t>
  </si>
  <si>
    <t>with a movement of +/-</t>
  </si>
  <si>
    <r>
      <t xml:space="preserve">with a preset for compression of </t>
    </r>
    <r>
      <rPr>
        <b/>
        <sz val="10"/>
        <color indexed="10"/>
        <rFont val="Arial"/>
        <family val="2"/>
      </rPr>
      <t/>
    </r>
  </si>
  <si>
    <t xml:space="preserve"> mm.</t>
  </si>
  <si>
    <t>AT INTERMEDIATE EXPANSION JOINT OVER PIER</t>
  </si>
  <si>
    <t>The expansion joint gap at this location will twice the expansion gap at the ends.</t>
  </si>
  <si>
    <t xml:space="preserve">Therefore, provide Modular Strip Seal type of expansion joints </t>
  </si>
  <si>
    <t>LEGEND:</t>
  </si>
  <si>
    <t>L</t>
  </si>
  <si>
    <t>effective length</t>
  </si>
  <si>
    <t>Ec</t>
  </si>
  <si>
    <t xml:space="preserve">value of strain due to creep at 28 days </t>
  </si>
  <si>
    <t>value of strain due to residual shrinkage at 28 days</t>
  </si>
  <si>
    <t xml:space="preserve">a                           </t>
  </si>
  <si>
    <t>coefficient of expansion per degree centigrade</t>
  </si>
  <si>
    <t xml:space="preserve">fb                   </t>
  </si>
  <si>
    <t>bottom fibre stress</t>
  </si>
  <si>
    <t xml:space="preserve">T                    </t>
  </si>
  <si>
    <t>variation in temperature on the basis of extreme climate</t>
  </si>
  <si>
    <t>longitudinal deck movement due to effect of shrinkage</t>
  </si>
  <si>
    <t>longitudinal deck movement due to effect of temperature</t>
  </si>
  <si>
    <t>longitudinal deck movement due to effect of creep</t>
  </si>
  <si>
    <t>longitudinal deck movement due to effect of elastic shortening</t>
  </si>
  <si>
    <t>fck</t>
  </si>
  <si>
    <t>equivalent size of duct</t>
  </si>
  <si>
    <t>Bearing plate rectangular shape</t>
  </si>
  <si>
    <t>h</t>
  </si>
  <si>
    <t>As adequate end anchorage reinforcement allowable bearing stress is incresed by 30%</t>
  </si>
  <si>
    <t>Thickness of Bearing Plate calculated by equating eqns</t>
  </si>
  <si>
    <t>cm2</t>
  </si>
  <si>
    <t>adopt thickness</t>
  </si>
  <si>
    <t>2Y0=width of End Block</t>
  </si>
  <si>
    <t>Y0</t>
  </si>
  <si>
    <t>YP0</t>
  </si>
  <si>
    <t>Force at anchorage=Pk</t>
  </si>
  <si>
    <t>YP0/Y0</t>
  </si>
  <si>
    <t>Fbst/Pk</t>
  </si>
  <si>
    <t>Area of steel required</t>
  </si>
  <si>
    <t>nos</t>
  </si>
  <si>
    <t>no of layers</t>
  </si>
  <si>
    <t>mid-span section</t>
  </si>
  <si>
    <t>summary of stresses</t>
  </si>
  <si>
    <t>stresses due to</t>
  </si>
  <si>
    <t>DL of slab</t>
  </si>
  <si>
    <t>Calculation of Losses in Prestress:-</t>
  </si>
  <si>
    <t>Frictional Loss:(for galvanised wire cable)</t>
  </si>
  <si>
    <t>Wobbble coefficient=</t>
  </si>
  <si>
    <t>K=</t>
  </si>
  <si>
    <t>μ=</t>
  </si>
  <si>
    <t>Px=</t>
  </si>
  <si>
    <t>Cable Nos.</t>
  </si>
  <si>
    <t>Cable length</t>
  </si>
  <si>
    <t>T</t>
  </si>
  <si>
    <t>Lt</t>
  </si>
  <si>
    <t>α</t>
  </si>
  <si>
    <t>αLt</t>
  </si>
  <si>
    <t>Slip Loss</t>
  </si>
  <si>
    <t>Average force per cable</t>
  </si>
  <si>
    <t>Horizontal component of Cable forces at various X-sections</t>
  </si>
  <si>
    <t>Effect of Prestressing</t>
  </si>
  <si>
    <t>Sections</t>
  </si>
  <si>
    <t>Fe/Zt</t>
  </si>
  <si>
    <t>Fe/Zb</t>
  </si>
  <si>
    <t>F/A-Fe/Zt</t>
  </si>
  <si>
    <t>F/A+Fe/Zb</t>
  </si>
  <si>
    <t>Ag</t>
  </si>
  <si>
    <t>ygb</t>
  </si>
  <si>
    <t>Time dependent losses of the following</t>
  </si>
  <si>
    <t>Elastic Shortening of wires</t>
  </si>
  <si>
    <t xml:space="preserve">Loss=.5XmX stress at C.Gof cables at that X. </t>
  </si>
  <si>
    <t>It is proposed to stress the cables after 28th days when the concrete attains 100% of its full strength</t>
  </si>
  <si>
    <t>Descriptions</t>
  </si>
  <si>
    <t>Prestress</t>
  </si>
  <si>
    <t>Resultant</t>
  </si>
  <si>
    <t>Section</t>
  </si>
  <si>
    <t>stress at CG of cables</t>
  </si>
  <si>
    <t>Average stress at C.G. of the X</t>
  </si>
  <si>
    <t>Loss</t>
  </si>
  <si>
    <t>%Loss=</t>
  </si>
  <si>
    <t>Initial relaxation loss(Cl-11.4 IRC 18-2000)</t>
  </si>
  <si>
    <t>Creep of concrete</t>
  </si>
  <si>
    <t>Inst: Loss%</t>
  </si>
  <si>
    <t>Average stress at C.G. of cables</t>
  </si>
  <si>
    <t xml:space="preserve">Creep Strain at 100% maturity at 28 days </t>
  </si>
  <si>
    <t>/10 Mpa</t>
  </si>
  <si>
    <t>c</t>
  </si>
  <si>
    <t>Shrinkage concrete:-</t>
  </si>
  <si>
    <t>(Vide Cl: 11.1 of I.R.C:-18-2000)</t>
  </si>
  <si>
    <t xml:space="preserve">Shrinkage Strain at 100% maturity at 28 days </t>
  </si>
  <si>
    <t>Loss=</t>
  </si>
  <si>
    <t>Relaxation of H.T. Steel</t>
  </si>
  <si>
    <t>From table 4A percentage relaxation loss corresponding to</t>
  </si>
  <si>
    <t>% of the average prestress</t>
  </si>
  <si>
    <t>Time Dependent Losses of the following:-</t>
  </si>
  <si>
    <t>20%higher time dependent losses as per CL 7.2.4 of IRC:- 18:2000</t>
  </si>
  <si>
    <t>Creep of concrete:-</t>
  </si>
  <si>
    <t>Shrinkage of concrete:-</t>
  </si>
  <si>
    <t>Total</t>
  </si>
  <si>
    <t>Description</t>
  </si>
  <si>
    <t>Inst. Loss%</t>
  </si>
  <si>
    <t>Resltant</t>
  </si>
  <si>
    <t>28 Days</t>
  </si>
  <si>
    <t>bal loss%</t>
  </si>
  <si>
    <t>Vehicular Load</t>
  </si>
  <si>
    <t>20% Extra Loss</t>
  </si>
  <si>
    <t>ms</t>
  </si>
  <si>
    <t>Average stress per cable</t>
  </si>
  <si>
    <t>Dead load of girder</t>
  </si>
  <si>
    <t>Average Force</t>
  </si>
  <si>
    <t>Remarks about stresses at various stages of Prestressing:</t>
  </si>
  <si>
    <t>maximum Compressive Stress after Prestressing shall not exceed minimum of the following</t>
  </si>
  <si>
    <t>fcj</t>
  </si>
  <si>
    <t>fcj=</t>
  </si>
  <si>
    <t>concrete strength at j time of Prestressing</t>
  </si>
  <si>
    <t>maximum Compressive Stress developed</t>
  </si>
  <si>
    <t>Temporary Tensile Stress in the extreme fibre after Prestressing shall not exceed</t>
  </si>
  <si>
    <t>of Maximum Compressive Stress after Prestressing</t>
  </si>
  <si>
    <t>Minimum stress developed</t>
  </si>
  <si>
    <t>Permissible Temporary stress in concrete</t>
  </si>
  <si>
    <t>Permissible stress in concrete at service condition</t>
  </si>
  <si>
    <t>Minimum Tensile Stress during Service condition</t>
  </si>
  <si>
    <t>maximum Compressive Stress during Service condition</t>
  </si>
  <si>
    <t>KN-m</t>
  </si>
  <si>
    <t>SIDL</t>
  </si>
  <si>
    <t>Slab+Diaphragm</t>
  </si>
  <si>
    <t xml:space="preserve">Girder </t>
  </si>
  <si>
    <t>DL of sidl</t>
  </si>
  <si>
    <t>Tensile elements</t>
  </si>
  <si>
    <t>nominal diameter</t>
  </si>
  <si>
    <t>Nominal cross-sectional area</t>
  </si>
  <si>
    <t>maximum tensile strength</t>
  </si>
  <si>
    <t>No of strands</t>
  </si>
  <si>
    <t>Cables are stressed from both ends</t>
  </si>
  <si>
    <t>σt</t>
  </si>
  <si>
    <t>σb</t>
  </si>
  <si>
    <t>Σforce</t>
  </si>
  <si>
    <t xml:space="preserve">a*T*L </t>
  </si>
  <si>
    <t>design value of Modulus of Elasticity =5000√(fck) N/mm2</t>
  </si>
  <si>
    <t>Relaxation Loss corresponding to 0.6fp</t>
  </si>
  <si>
    <t>Tensile stress</t>
  </si>
  <si>
    <t>fp</t>
  </si>
  <si>
    <t>re</t>
  </si>
  <si>
    <t>esh</t>
  </si>
  <si>
    <t>cr</t>
  </si>
  <si>
    <t>Recapitulation of stresses at various X-section</t>
  </si>
  <si>
    <t>Total Time Dependent Losses</t>
  </si>
  <si>
    <t>% Loss</t>
  </si>
  <si>
    <t>%Loss</t>
  </si>
  <si>
    <t>Summary of Cable Forces after Friction loss</t>
  </si>
  <si>
    <t>Summary of Cable Forces after Friction and Slip loss</t>
  </si>
  <si>
    <t>Instantenous Losses consisting of the following:-</t>
  </si>
  <si>
    <t>Stress at CG of cables</t>
  </si>
  <si>
    <t>7-wire prestressing steel strand</t>
  </si>
  <si>
    <t>Check for Ultimate Strength at Various X-Sections:</t>
  </si>
  <si>
    <t>Failure by yield of steel (under Reinforced section)</t>
  </si>
  <si>
    <t>As</t>
  </si>
  <si>
    <t>Area of High Tensile Steel</t>
  </si>
  <si>
    <t>The Ultimate Tensile Strength of Steel</t>
  </si>
  <si>
    <t>db</t>
  </si>
  <si>
    <t>The Depth of the beam from the maximum compression edge to C.G. of Tendons.</t>
  </si>
  <si>
    <t>Failure by crushing of concrete (over reinforced section)</t>
  </si>
  <si>
    <t>Total width of the web</t>
  </si>
  <si>
    <t>Overall width of the top flange</t>
  </si>
  <si>
    <t>Average thickness of flange</t>
  </si>
  <si>
    <t>b(m)</t>
  </si>
  <si>
    <t>t(m)</t>
  </si>
  <si>
    <t>No of Cables</t>
  </si>
  <si>
    <t>no</t>
  </si>
  <si>
    <t>BW</t>
  </si>
  <si>
    <t>bbf</t>
  </si>
  <si>
    <t>btf</t>
  </si>
  <si>
    <t>ds</t>
  </si>
  <si>
    <t>Remarks</t>
  </si>
  <si>
    <t>Vertical component of Cable forces at various X-sections</t>
  </si>
  <si>
    <t>fcp</t>
  </si>
  <si>
    <t>d(m)</t>
  </si>
  <si>
    <t>efprestress</t>
  </si>
  <si>
    <t>Vco(t)</t>
  </si>
  <si>
    <t>y(m)</t>
  </si>
  <si>
    <t>zgb</t>
  </si>
  <si>
    <t>zgt</t>
  </si>
  <si>
    <t>ig</t>
  </si>
  <si>
    <t xml:space="preserve"> Prestressed Girder</t>
  </si>
  <si>
    <t>End-span section</t>
  </si>
  <si>
    <t>aeg</t>
  </si>
  <si>
    <t>cge</t>
  </si>
  <si>
    <t>ige</t>
  </si>
  <si>
    <t>zbe</t>
  </si>
  <si>
    <t>zte</t>
  </si>
  <si>
    <t>zt</t>
  </si>
  <si>
    <t>shear</t>
  </si>
  <si>
    <t>Vcr(t)</t>
  </si>
  <si>
    <t>Vult(t)</t>
  </si>
  <si>
    <t>Vcr(min)(t)</t>
  </si>
  <si>
    <t>(Cl:14.1.2 of I.R.C:-18-2000)</t>
  </si>
  <si>
    <t>Vcapacity=</t>
  </si>
  <si>
    <t>530 x bweb x db) + pv if the X-section is Uncracked</t>
  </si>
  <si>
    <t>0.8 x overall Depth of Dist: from comp: face to C.G. of Tendons, whicheveris more</t>
  </si>
  <si>
    <t>Cl. No. 14.1.5 &amp; Table 6 of I&gt;R.C:- 18-2000</t>
  </si>
  <si>
    <t>maximum shear stress=</t>
  </si>
  <si>
    <t xml:space="preserve">Mpa </t>
  </si>
  <si>
    <t>Vcapacity(t)</t>
  </si>
  <si>
    <t>Check for Shear Reinforcement:-</t>
  </si>
  <si>
    <t>(Cl:14.1.4 of IRC:18-2000)</t>
  </si>
  <si>
    <t>Vc(t)</t>
  </si>
  <si>
    <t>fy</t>
  </si>
  <si>
    <t>Check for mid-span deflection</t>
  </si>
  <si>
    <t>Downward deflection</t>
  </si>
  <si>
    <t>M</t>
  </si>
  <si>
    <t>E</t>
  </si>
  <si>
    <t>Bending Moment</t>
  </si>
  <si>
    <t>span</t>
  </si>
  <si>
    <t>Modulus of Elasticity of Concrete</t>
  </si>
  <si>
    <t>Modulus of Elasticity of Concrete(Epc)</t>
  </si>
  <si>
    <t>Moment of Inertia</t>
  </si>
  <si>
    <t>ic</t>
  </si>
  <si>
    <t>ac</t>
  </si>
  <si>
    <t>zbc</t>
  </si>
  <si>
    <t>ztc</t>
  </si>
  <si>
    <t>Upward Deflection due to prestress</t>
  </si>
  <si>
    <t>Prestressing Force at mid-span</t>
  </si>
  <si>
    <t>eccentricity</t>
  </si>
  <si>
    <t>δ1</t>
  </si>
  <si>
    <t>δ2</t>
  </si>
  <si>
    <t xml:space="preserve">Pernissible Deflection = </t>
  </si>
  <si>
    <t>L/800</t>
  </si>
  <si>
    <t>shearein</t>
  </si>
  <si>
    <t>Cover</t>
  </si>
  <si>
    <t>co</t>
  </si>
  <si>
    <t>Live Load</t>
  </si>
  <si>
    <t>Dead+           SIDL
Load</t>
  </si>
  <si>
    <t>BBR made</t>
  </si>
  <si>
    <t>Sheating type</t>
  </si>
  <si>
    <t>Corrugated HDPE pipe</t>
  </si>
  <si>
    <t>Internal diameter</t>
  </si>
  <si>
    <t>Spacing(mm)</t>
  </si>
  <si>
    <t>dia of bar(mm)</t>
  </si>
  <si>
    <t>DL of sidl(kg/cm2)</t>
  </si>
  <si>
    <t>F/A(t)</t>
  </si>
  <si>
    <t>Force(t)</t>
  </si>
  <si>
    <t>centroid(cm)</t>
  </si>
  <si>
    <t>Cg of cable(cm)</t>
  </si>
  <si>
    <t>e(cm)</t>
  </si>
  <si>
    <t>Minimum area</t>
  </si>
  <si>
    <t xml:space="preserve">No.of bar </t>
  </si>
  <si>
    <t>Zst</t>
  </si>
  <si>
    <t>end-span section</t>
  </si>
  <si>
    <t>Zcbe</t>
  </si>
  <si>
    <t>zcte</t>
  </si>
  <si>
    <t xml:space="preserve">centre distance </t>
  </si>
  <si>
    <t>eedge distance with cover to centre</t>
  </si>
  <si>
    <t>bar no</t>
  </si>
  <si>
    <t>dia</t>
  </si>
  <si>
    <t>as</t>
  </si>
  <si>
    <t xml:space="preserve"> First Stage Prestressing</t>
  </si>
  <si>
    <t>(Ma+Mb)nP</t>
  </si>
  <si>
    <t>Ma/nP</t>
  </si>
  <si>
    <t>ductdia</t>
  </si>
  <si>
    <t>maximum principal tensile stress 0.24sqrt(fck)</t>
  </si>
  <si>
    <t>Ultimte Shear Resistance</t>
  </si>
  <si>
    <t>Width of web - (2/3 x duct diameter) if cables are grouted</t>
  </si>
  <si>
    <t>thickness of wall</t>
  </si>
  <si>
    <t>Link bar</t>
  </si>
  <si>
    <t>fyv</t>
  </si>
  <si>
    <t>dt(m)</t>
  </si>
  <si>
    <t>depth from extreme compression fibre eitger to the longitudinal bars having diameter not less than the link bar over which the link will pass or to the centroid of the tendons, whichever is greater</t>
  </si>
  <si>
    <t>%As/bd</t>
  </si>
  <si>
    <t>Design of Bursting Tensile Force</t>
  </si>
  <si>
    <t>(CL:17.2 of I.R.C: 18-2000)</t>
  </si>
  <si>
    <t>alfp</t>
  </si>
  <si>
    <t>Table 4A page17</t>
  </si>
  <si>
    <t>Anchor diameter</t>
  </si>
  <si>
    <t>(Clause no. 7.3. IRC:18-2000)</t>
  </si>
  <si>
    <t>2YP0=width of loaded area</t>
  </si>
  <si>
    <t>Table</t>
  </si>
  <si>
    <t>Maximum V(t)</t>
  </si>
  <si>
    <t>Table 6 page 27</t>
  </si>
  <si>
    <t>mpa</t>
  </si>
  <si>
    <t>(Clause 14.1.5 I.R.C. 18-2000)</t>
  </si>
  <si>
    <t>Spacing web(mm)</t>
  </si>
  <si>
    <t>bar dia.</t>
  </si>
  <si>
    <t>no of pitch</t>
  </si>
  <si>
    <t>pitch</t>
  </si>
  <si>
    <t>Prestressed  Girder</t>
  </si>
  <si>
    <t>adopted</t>
  </si>
  <si>
    <t>(Clause 14.1.4.1 I.R.C. 18-2000)</t>
  </si>
  <si>
    <t>(Clause 14.1.4.2 I.R.C. 18-2000)</t>
  </si>
  <si>
    <t>Spacing flange(mm)</t>
  </si>
  <si>
    <t>(Page 26 Fig(i), I.R.C.18-2000)</t>
  </si>
  <si>
    <t>Rimal Bridge(Outer Girder)</t>
  </si>
  <si>
    <t>adoted</t>
  </si>
  <si>
    <t>Minimum spacing(mm)</t>
  </si>
  <si>
    <t>(Clause 15.2 I.R.C. 18-2000)</t>
  </si>
  <si>
    <t>Vertical Reinforcement for Bulb</t>
  </si>
  <si>
    <t>Spacing (mm)</t>
  </si>
  <si>
    <t>i</t>
  </si>
  <si>
    <t>ii</t>
  </si>
  <si>
    <r>
      <rPr>
        <sz val="8"/>
        <color theme="1"/>
        <rFont val="Symbol"/>
        <family val="1"/>
        <charset val="2"/>
      </rPr>
      <t>s</t>
    </r>
    <r>
      <rPr>
        <vertAlign val="subscript"/>
        <sz val="8"/>
        <color theme="1"/>
        <rFont val="Calibri"/>
        <family val="2"/>
        <scheme val="minor"/>
      </rPr>
      <t>S</t>
    </r>
  </si>
  <si>
    <r>
      <t>mm</t>
    </r>
    <r>
      <rPr>
        <vertAlign val="superscript"/>
        <sz val="8"/>
        <color theme="1"/>
        <rFont val="Calibri"/>
        <family val="2"/>
        <scheme val="minor"/>
      </rPr>
      <t>2</t>
    </r>
  </si>
  <si>
    <r>
      <rPr>
        <sz val="8"/>
        <color theme="1"/>
        <rFont val="Times New Roman"/>
        <family val="1"/>
      </rPr>
      <t>σ</t>
    </r>
    <r>
      <rPr>
        <sz val="8"/>
        <color theme="1"/>
        <rFont val="Calibri"/>
        <family val="2"/>
      </rPr>
      <t>b</t>
    </r>
  </si>
  <si>
    <r>
      <t>M = 0.5*</t>
    </r>
    <r>
      <rPr>
        <sz val="8"/>
        <color theme="1"/>
        <rFont val="Symbol"/>
        <family val="1"/>
        <charset val="2"/>
      </rPr>
      <t>s</t>
    </r>
    <r>
      <rPr>
        <vertAlign val="subscript"/>
        <sz val="8"/>
        <color theme="1"/>
        <rFont val="Calibri"/>
        <family val="2"/>
        <scheme val="minor"/>
      </rPr>
      <t>b</t>
    </r>
    <r>
      <rPr>
        <sz val="8"/>
        <color theme="1"/>
        <rFont val="Calibri"/>
        <family val="2"/>
        <scheme val="minor"/>
      </rPr>
      <t>*lc</t>
    </r>
    <r>
      <rPr>
        <vertAlign val="superscript"/>
        <sz val="8"/>
        <color theme="1"/>
        <rFont val="Calibri"/>
        <family val="2"/>
        <scheme val="minor"/>
      </rPr>
      <t>2</t>
    </r>
  </si>
  <si>
    <r>
      <t>0.5*</t>
    </r>
    <r>
      <rPr>
        <sz val="8"/>
        <color theme="1"/>
        <rFont val="Symbol"/>
        <family val="1"/>
        <charset val="2"/>
      </rPr>
      <t>s</t>
    </r>
    <r>
      <rPr>
        <vertAlign val="subscript"/>
        <sz val="8"/>
        <color theme="1"/>
        <rFont val="Calibri"/>
        <family val="2"/>
        <scheme val="minor"/>
      </rPr>
      <t>b</t>
    </r>
    <r>
      <rPr>
        <sz val="8"/>
        <color theme="1"/>
        <rFont val="Calibri"/>
        <family val="2"/>
        <scheme val="minor"/>
      </rPr>
      <t>*lc</t>
    </r>
    <r>
      <rPr>
        <vertAlign val="superscript"/>
        <sz val="8"/>
        <color theme="1"/>
        <rFont val="Calibri"/>
        <family val="2"/>
        <scheme val="minor"/>
      </rPr>
      <t xml:space="preserve">2 </t>
    </r>
    <r>
      <rPr>
        <sz val="8"/>
        <color theme="1"/>
        <rFont val="Calibri"/>
        <family val="2"/>
        <scheme val="minor"/>
      </rPr>
      <t xml:space="preserve">= </t>
    </r>
    <r>
      <rPr>
        <sz val="8"/>
        <color theme="1"/>
        <rFont val="Symbol"/>
        <family val="1"/>
        <charset val="2"/>
      </rPr>
      <t>s</t>
    </r>
    <r>
      <rPr>
        <vertAlign val="subscript"/>
        <sz val="8"/>
        <color theme="1"/>
        <rFont val="Calibri"/>
        <family val="2"/>
        <scheme val="minor"/>
      </rPr>
      <t>S</t>
    </r>
    <r>
      <rPr>
        <sz val="8"/>
        <color theme="1"/>
        <rFont val="Calibri"/>
        <family val="2"/>
        <scheme val="minor"/>
      </rPr>
      <t>*t</t>
    </r>
    <r>
      <rPr>
        <vertAlign val="superscript"/>
        <sz val="8"/>
        <color theme="1"/>
        <rFont val="Calibri"/>
        <family val="2"/>
        <scheme val="minor"/>
      </rPr>
      <t>2</t>
    </r>
    <r>
      <rPr>
        <sz val="8"/>
        <color theme="1"/>
        <rFont val="Calibri"/>
        <family val="2"/>
        <scheme val="minor"/>
      </rPr>
      <t>/6</t>
    </r>
  </si>
  <si>
    <r>
      <t>DL of Girder(kg/cm</t>
    </r>
    <r>
      <rPr>
        <vertAlign val="superscript"/>
        <sz val="8"/>
        <rFont val="Calibri"/>
        <family val="2"/>
        <scheme val="minor"/>
      </rPr>
      <t>2</t>
    </r>
    <r>
      <rPr>
        <sz val="8"/>
        <rFont val="Calibri"/>
        <family val="2"/>
        <scheme val="minor"/>
      </rPr>
      <t>)</t>
    </r>
  </si>
  <si>
    <r>
      <t>DL of slab(kg/cm</t>
    </r>
    <r>
      <rPr>
        <vertAlign val="superscript"/>
        <sz val="8"/>
        <rFont val="Calibri"/>
        <family val="2"/>
        <scheme val="minor"/>
      </rPr>
      <t>2</t>
    </r>
    <r>
      <rPr>
        <sz val="8"/>
        <rFont val="Calibri"/>
        <family val="2"/>
        <scheme val="minor"/>
      </rPr>
      <t>)</t>
    </r>
  </si>
  <si>
    <r>
      <t>Vehicular(kg/cm</t>
    </r>
    <r>
      <rPr>
        <vertAlign val="superscript"/>
        <sz val="8"/>
        <rFont val="Calibri"/>
        <family val="2"/>
        <scheme val="minor"/>
      </rPr>
      <t>2</t>
    </r>
    <r>
      <rPr>
        <sz val="8"/>
        <rFont val="Calibri"/>
        <family val="2"/>
        <scheme val="minor"/>
      </rPr>
      <t>)</t>
    </r>
  </si>
  <si>
    <r>
      <t>Kg/cm</t>
    </r>
    <r>
      <rPr>
        <b/>
        <vertAlign val="superscript"/>
        <sz val="8"/>
        <color theme="1"/>
        <rFont val="Calibri"/>
        <family val="2"/>
        <scheme val="minor"/>
      </rPr>
      <t>2</t>
    </r>
  </si>
  <si>
    <r>
      <t>area(cm</t>
    </r>
    <r>
      <rPr>
        <vertAlign val="superscript"/>
        <sz val="8"/>
        <rFont val="Calibri"/>
        <family val="2"/>
        <scheme val="minor"/>
      </rPr>
      <t>2</t>
    </r>
    <r>
      <rPr>
        <sz val="8"/>
        <rFont val="Calibri"/>
        <family val="2"/>
        <scheme val="minor"/>
      </rPr>
      <t>)</t>
    </r>
  </si>
  <si>
    <r>
      <t>Zt(cm</t>
    </r>
    <r>
      <rPr>
        <vertAlign val="superscript"/>
        <sz val="8"/>
        <rFont val="Calibri"/>
        <family val="2"/>
        <scheme val="minor"/>
      </rPr>
      <t>3</t>
    </r>
    <r>
      <rPr>
        <sz val="8"/>
        <rFont val="Calibri"/>
        <family val="2"/>
        <scheme val="minor"/>
      </rPr>
      <t>)</t>
    </r>
  </si>
  <si>
    <r>
      <t>Zb(cm</t>
    </r>
    <r>
      <rPr>
        <vertAlign val="superscript"/>
        <sz val="8"/>
        <rFont val="Calibri"/>
        <family val="2"/>
        <scheme val="minor"/>
      </rPr>
      <t>3</t>
    </r>
    <r>
      <rPr>
        <sz val="8"/>
        <rFont val="Calibri"/>
        <family val="2"/>
        <scheme val="minor"/>
      </rPr>
      <t>)</t>
    </r>
  </si>
  <si>
    <r>
      <t>Kg/cm</t>
    </r>
    <r>
      <rPr>
        <vertAlign val="superscript"/>
        <sz val="8"/>
        <color theme="1"/>
        <rFont val="Calibri"/>
        <family val="2"/>
        <scheme val="minor"/>
      </rPr>
      <t>2</t>
    </r>
  </si>
  <si>
    <r>
      <t>kg/cm</t>
    </r>
    <r>
      <rPr>
        <vertAlign val="superscript"/>
        <sz val="8"/>
        <rFont val="Calibri"/>
        <family val="2"/>
        <scheme val="minor"/>
      </rPr>
      <t xml:space="preserve">2 </t>
    </r>
    <r>
      <rPr>
        <sz val="8"/>
        <rFont val="Calibri"/>
        <family val="2"/>
        <scheme val="minor"/>
      </rPr>
      <t>or</t>
    </r>
  </si>
  <si>
    <r>
      <t>kg/cm</t>
    </r>
    <r>
      <rPr>
        <vertAlign val="superscript"/>
        <sz val="8"/>
        <rFont val="Calibri"/>
        <family val="2"/>
        <scheme val="minor"/>
      </rPr>
      <t xml:space="preserve">2 </t>
    </r>
  </si>
  <si>
    <r>
      <t>M</t>
    </r>
    <r>
      <rPr>
        <vertAlign val="subscript"/>
        <sz val="8"/>
        <rFont val="Calibri"/>
        <family val="2"/>
        <scheme val="minor"/>
      </rPr>
      <t>ult(steel)</t>
    </r>
  </si>
  <si>
    <r>
      <t>0.9d</t>
    </r>
    <r>
      <rPr>
        <vertAlign val="subscript"/>
        <sz val="8"/>
        <rFont val="Calibri"/>
        <family val="2"/>
        <scheme val="minor"/>
      </rPr>
      <t>b</t>
    </r>
    <r>
      <rPr>
        <sz val="8"/>
        <rFont val="Calibri"/>
        <family val="2"/>
        <scheme val="minor"/>
      </rPr>
      <t>A</t>
    </r>
    <r>
      <rPr>
        <vertAlign val="subscript"/>
        <sz val="8"/>
        <rFont val="Calibri"/>
        <family val="2"/>
        <scheme val="minor"/>
      </rPr>
      <t>s</t>
    </r>
    <r>
      <rPr>
        <sz val="8"/>
        <rFont val="Calibri"/>
        <family val="2"/>
        <scheme val="minor"/>
      </rPr>
      <t>f</t>
    </r>
    <r>
      <rPr>
        <vertAlign val="subscript"/>
        <sz val="8"/>
        <rFont val="Calibri"/>
        <family val="2"/>
        <scheme val="minor"/>
      </rPr>
      <t>p</t>
    </r>
  </si>
  <si>
    <r>
      <t>M</t>
    </r>
    <r>
      <rPr>
        <vertAlign val="subscript"/>
        <sz val="8"/>
        <rFont val="Calibri"/>
        <family val="2"/>
        <scheme val="minor"/>
      </rPr>
      <t>ult(con)</t>
    </r>
  </si>
  <si>
    <r>
      <t>0.176bd</t>
    </r>
    <r>
      <rPr>
        <vertAlign val="subscript"/>
        <sz val="8"/>
        <rFont val="Calibri"/>
        <family val="2"/>
        <scheme val="minor"/>
      </rPr>
      <t>b</t>
    </r>
    <r>
      <rPr>
        <vertAlign val="superscript"/>
        <sz val="8"/>
        <rFont val="Calibri"/>
        <family val="2"/>
        <scheme val="minor"/>
      </rPr>
      <t>2</t>
    </r>
    <r>
      <rPr>
        <sz val="8"/>
        <rFont val="Calibri"/>
        <family val="2"/>
        <scheme val="minor"/>
      </rPr>
      <t>fck+2/3x0.8(B</t>
    </r>
    <r>
      <rPr>
        <vertAlign val="subscript"/>
        <sz val="8"/>
        <rFont val="Calibri"/>
        <family val="2"/>
        <scheme val="minor"/>
      </rPr>
      <t>f</t>
    </r>
    <r>
      <rPr>
        <sz val="8"/>
        <rFont val="Calibri"/>
        <family val="2"/>
        <scheme val="minor"/>
      </rPr>
      <t>-b)(d</t>
    </r>
    <r>
      <rPr>
        <vertAlign val="subscript"/>
        <sz val="8"/>
        <rFont val="Calibri"/>
        <family val="2"/>
        <scheme val="minor"/>
      </rPr>
      <t>b</t>
    </r>
    <r>
      <rPr>
        <sz val="8"/>
        <rFont val="Calibri"/>
        <family val="2"/>
        <scheme val="minor"/>
      </rPr>
      <t>-t/2)xtxfck</t>
    </r>
  </si>
  <si>
    <r>
      <t>B</t>
    </r>
    <r>
      <rPr>
        <vertAlign val="subscript"/>
        <sz val="8"/>
        <rFont val="Calibri"/>
        <family val="2"/>
        <scheme val="minor"/>
      </rPr>
      <t>f</t>
    </r>
  </si>
  <si>
    <r>
      <t>As(m</t>
    </r>
    <r>
      <rPr>
        <vertAlign val="superscript"/>
        <sz val="8"/>
        <rFont val="Calibri"/>
        <family val="2"/>
        <scheme val="minor"/>
      </rPr>
      <t>2</t>
    </r>
    <r>
      <rPr>
        <sz val="8"/>
        <rFont val="Calibri"/>
        <family val="2"/>
        <scheme val="minor"/>
      </rPr>
      <t>)</t>
    </r>
  </si>
  <si>
    <r>
      <t>fp(t/m</t>
    </r>
    <r>
      <rPr>
        <vertAlign val="superscript"/>
        <sz val="8"/>
        <rFont val="Calibri"/>
        <family val="2"/>
        <scheme val="minor"/>
      </rPr>
      <t>2</t>
    </r>
    <r>
      <rPr>
        <sz val="8"/>
        <rFont val="Calibri"/>
        <family val="2"/>
        <scheme val="minor"/>
      </rPr>
      <t>)</t>
    </r>
  </si>
  <si>
    <r>
      <t>d</t>
    </r>
    <r>
      <rPr>
        <vertAlign val="subscript"/>
        <sz val="8"/>
        <rFont val="Calibri"/>
        <family val="2"/>
        <scheme val="minor"/>
      </rPr>
      <t>b</t>
    </r>
    <r>
      <rPr>
        <sz val="8"/>
        <rFont val="Calibri"/>
        <family val="2"/>
        <scheme val="minor"/>
      </rPr>
      <t>(m)</t>
    </r>
  </si>
  <si>
    <r>
      <t>B</t>
    </r>
    <r>
      <rPr>
        <vertAlign val="subscript"/>
        <sz val="8"/>
        <rFont val="Calibri"/>
        <family val="2"/>
        <scheme val="minor"/>
      </rPr>
      <t>f</t>
    </r>
    <r>
      <rPr>
        <sz val="8"/>
        <rFont val="Calibri"/>
        <family val="2"/>
        <scheme val="minor"/>
      </rPr>
      <t>(m)</t>
    </r>
  </si>
  <si>
    <r>
      <t>M</t>
    </r>
    <r>
      <rPr>
        <vertAlign val="subscript"/>
        <sz val="8"/>
        <rFont val="Calibri"/>
        <family val="2"/>
        <scheme val="minor"/>
      </rPr>
      <t>ult(con)</t>
    </r>
    <r>
      <rPr>
        <sz val="8"/>
        <rFont val="Calibri"/>
        <family val="2"/>
        <scheme val="minor"/>
      </rPr>
      <t>(tm)</t>
    </r>
  </si>
  <si>
    <r>
      <t>Min M</t>
    </r>
    <r>
      <rPr>
        <vertAlign val="subscript"/>
        <sz val="8"/>
        <rFont val="Calibri"/>
        <family val="2"/>
        <scheme val="minor"/>
      </rPr>
      <t>ult</t>
    </r>
  </si>
  <si>
    <r>
      <t>M</t>
    </r>
    <r>
      <rPr>
        <vertAlign val="subscript"/>
        <sz val="8"/>
        <rFont val="Calibri"/>
        <family val="2"/>
        <scheme val="minor"/>
      </rPr>
      <t>ult</t>
    </r>
  </si>
  <si>
    <r>
      <t>f</t>
    </r>
    <r>
      <rPr>
        <vertAlign val="subscript"/>
        <sz val="8"/>
        <color rgb="FF000000"/>
        <rFont val="Calibri"/>
        <family val="2"/>
        <scheme val="minor"/>
      </rPr>
      <t>t</t>
    </r>
    <r>
      <rPr>
        <sz val="8"/>
        <color rgb="FF000000"/>
        <rFont val="Calibri"/>
        <family val="2"/>
        <scheme val="minor"/>
      </rPr>
      <t>=</t>
    </r>
  </si>
  <si>
    <r>
      <t>t/m</t>
    </r>
    <r>
      <rPr>
        <vertAlign val="superscript"/>
        <sz val="8"/>
        <rFont val="Calibri"/>
        <family val="2"/>
        <scheme val="minor"/>
      </rPr>
      <t>2</t>
    </r>
  </si>
  <si>
    <r>
      <t>fcp(t/m</t>
    </r>
    <r>
      <rPr>
        <vertAlign val="superscript"/>
        <sz val="8"/>
        <rFont val="Calibri"/>
        <family val="2"/>
        <scheme val="minor"/>
      </rPr>
      <t>2</t>
    </r>
    <r>
      <rPr>
        <sz val="8"/>
        <rFont val="Calibri"/>
        <family val="2"/>
        <scheme val="minor"/>
      </rPr>
      <t>)</t>
    </r>
  </si>
  <si>
    <r>
      <t>I(m</t>
    </r>
    <r>
      <rPr>
        <vertAlign val="superscript"/>
        <sz val="8"/>
        <rFont val="Calibri"/>
        <family val="2"/>
        <scheme val="minor"/>
      </rPr>
      <t>4</t>
    </r>
    <r>
      <rPr>
        <sz val="8"/>
        <rFont val="Calibri"/>
        <family val="2"/>
        <scheme val="minor"/>
      </rPr>
      <t>)</t>
    </r>
  </si>
  <si>
    <r>
      <t>fpt(t/m</t>
    </r>
    <r>
      <rPr>
        <vertAlign val="superscript"/>
        <sz val="8"/>
        <rFont val="Calibri"/>
        <family val="2"/>
        <scheme val="minor"/>
      </rPr>
      <t>2</t>
    </r>
    <r>
      <rPr>
        <sz val="8"/>
        <rFont val="Calibri"/>
        <family val="2"/>
        <scheme val="minor"/>
      </rPr>
      <t>)</t>
    </r>
  </si>
  <si>
    <r>
      <t>M</t>
    </r>
    <r>
      <rPr>
        <vertAlign val="subscript"/>
        <sz val="8"/>
        <rFont val="Calibri"/>
        <family val="2"/>
        <scheme val="minor"/>
      </rPr>
      <t>t</t>
    </r>
    <r>
      <rPr>
        <sz val="8"/>
        <rFont val="Calibri"/>
        <family val="2"/>
        <scheme val="minor"/>
      </rPr>
      <t>(tm)</t>
    </r>
  </si>
  <si>
    <r>
      <t>M</t>
    </r>
    <r>
      <rPr>
        <vertAlign val="subscript"/>
        <sz val="8"/>
        <rFont val="Calibri"/>
        <family val="2"/>
        <scheme val="minor"/>
      </rPr>
      <t>ult</t>
    </r>
    <r>
      <rPr>
        <sz val="8"/>
        <rFont val="Calibri"/>
        <family val="2"/>
        <scheme val="minor"/>
      </rPr>
      <t>(tm)</t>
    </r>
  </si>
  <si>
    <r>
      <t>Area 2-legged(mm</t>
    </r>
    <r>
      <rPr>
        <vertAlign val="superscript"/>
        <sz val="8"/>
        <rFont val="Calibri"/>
        <family val="2"/>
        <scheme val="minor"/>
      </rPr>
      <t>2</t>
    </r>
    <r>
      <rPr>
        <sz val="8"/>
        <rFont val="Calibri"/>
        <family val="2"/>
        <scheme val="minor"/>
      </rPr>
      <t>)</t>
    </r>
  </si>
  <si>
    <r>
      <t>Φβ</t>
    </r>
    <r>
      <rPr>
        <vertAlign val="subscript"/>
        <sz val="8"/>
        <rFont val="Times New Roman"/>
        <family val="1"/>
      </rPr>
      <t>4</t>
    </r>
    <r>
      <rPr>
        <sz val="8"/>
        <rFont val="Times New Roman"/>
        <family val="1"/>
      </rPr>
      <t>Asf</t>
    </r>
    <r>
      <rPr>
        <vertAlign val="subscript"/>
        <sz val="8"/>
        <rFont val="Times New Roman"/>
        <family val="1"/>
      </rPr>
      <t>y</t>
    </r>
    <r>
      <rPr>
        <sz val="8"/>
        <rFont val="Times New Roman"/>
        <family val="1"/>
      </rPr>
      <t>d/s+Φβ5b</t>
    </r>
    <r>
      <rPr>
        <vertAlign val="subscript"/>
        <sz val="8"/>
        <rFont val="Times New Roman"/>
        <family val="1"/>
      </rPr>
      <t>f</t>
    </r>
    <r>
      <rPr>
        <sz val="8"/>
        <rFont val="Times New Roman"/>
        <family val="1"/>
      </rPr>
      <t>d*0.4sqrt(fck)&gt;=Vult</t>
    </r>
  </si>
  <si>
    <r>
      <t>5/48 xML</t>
    </r>
    <r>
      <rPr>
        <vertAlign val="superscript"/>
        <sz val="8"/>
        <rFont val="Calibri"/>
        <family val="2"/>
        <scheme val="minor"/>
      </rPr>
      <t>2</t>
    </r>
    <r>
      <rPr>
        <sz val="8"/>
        <rFont val="Calibri"/>
        <family val="2"/>
        <scheme val="minor"/>
      </rPr>
      <t>/EI</t>
    </r>
  </si>
  <si>
    <r>
      <t>m</t>
    </r>
    <r>
      <rPr>
        <vertAlign val="superscript"/>
        <sz val="8"/>
        <rFont val="Calibri"/>
        <family val="2"/>
        <scheme val="minor"/>
      </rPr>
      <t>4</t>
    </r>
  </si>
  <si>
    <r>
      <t>PeL</t>
    </r>
    <r>
      <rPr>
        <vertAlign val="superscript"/>
        <sz val="8"/>
        <rFont val="Calibri"/>
        <family val="2"/>
        <scheme val="minor"/>
      </rPr>
      <t>2</t>
    </r>
    <r>
      <rPr>
        <sz val="8"/>
        <rFont val="Calibri"/>
        <family val="2"/>
        <scheme val="minor"/>
      </rPr>
      <t>/8EI</t>
    </r>
  </si>
  <si>
    <r>
      <t xml:space="preserve">Net Deflection, </t>
    </r>
    <r>
      <rPr>
        <sz val="8"/>
        <rFont val="Tahoma"/>
        <family val="2"/>
      </rPr>
      <t>δ</t>
    </r>
    <r>
      <rPr>
        <sz val="8"/>
        <rFont val="Calibri"/>
        <family val="2"/>
      </rPr>
      <t>=</t>
    </r>
  </si>
  <si>
    <r>
      <t>mm</t>
    </r>
    <r>
      <rPr>
        <vertAlign val="superscript"/>
        <sz val="8"/>
        <rFont val="Calibri"/>
        <family val="2"/>
        <scheme val="minor"/>
      </rPr>
      <t>2</t>
    </r>
  </si>
  <si>
    <r>
      <t>AX</t>
    </r>
    <r>
      <rPr>
        <vertAlign val="superscript"/>
        <sz val="8"/>
        <rFont val="Calibri"/>
        <family val="2"/>
        <scheme val="minor"/>
      </rPr>
      <t>2</t>
    </r>
  </si>
  <si>
    <r>
      <t>AY</t>
    </r>
    <r>
      <rPr>
        <vertAlign val="superscript"/>
        <sz val="8"/>
        <rFont val="Calibri"/>
        <family val="2"/>
        <scheme val="minor"/>
      </rPr>
      <t>2</t>
    </r>
  </si>
  <si>
    <r>
      <t>cm</t>
    </r>
    <r>
      <rPr>
        <vertAlign val="superscript"/>
        <sz val="8"/>
        <rFont val="Calibri"/>
        <family val="2"/>
        <scheme val="minor"/>
      </rPr>
      <t>2</t>
    </r>
  </si>
  <si>
    <r>
      <t>cm</t>
    </r>
    <r>
      <rPr>
        <vertAlign val="superscript"/>
        <sz val="8"/>
        <rFont val="Calibri"/>
        <family val="2"/>
        <scheme val="minor"/>
      </rPr>
      <t>4</t>
    </r>
  </si>
  <si>
    <r>
      <t>y</t>
    </r>
    <r>
      <rPr>
        <vertAlign val="subscript"/>
        <sz val="8"/>
        <rFont val="Calibri"/>
        <family val="2"/>
        <scheme val="minor"/>
      </rPr>
      <t>b</t>
    </r>
    <r>
      <rPr>
        <sz val="8"/>
        <rFont val="Calibri"/>
        <family val="2"/>
        <scheme val="minor"/>
      </rPr>
      <t>=</t>
    </r>
  </si>
  <si>
    <r>
      <t>y</t>
    </r>
    <r>
      <rPr>
        <vertAlign val="subscript"/>
        <sz val="8"/>
        <rFont val="Calibri"/>
        <family val="2"/>
        <scheme val="minor"/>
      </rPr>
      <t>slab top</t>
    </r>
    <r>
      <rPr>
        <sz val="8"/>
        <rFont val="Calibri"/>
        <family val="2"/>
        <scheme val="minor"/>
      </rPr>
      <t>=</t>
    </r>
  </si>
  <si>
    <r>
      <t>cm</t>
    </r>
    <r>
      <rPr>
        <vertAlign val="superscript"/>
        <sz val="8"/>
        <rFont val="Calibri"/>
        <family val="2"/>
        <scheme val="minor"/>
      </rPr>
      <t>3</t>
    </r>
  </si>
  <si>
    <r>
      <t>R</t>
    </r>
    <r>
      <rPr>
        <vertAlign val="subscript"/>
        <sz val="8"/>
        <rFont val="Calibri"/>
        <family val="2"/>
        <scheme val="minor"/>
      </rPr>
      <t>A</t>
    </r>
    <r>
      <rPr>
        <sz val="8"/>
        <rFont val="Calibri"/>
        <family val="2"/>
        <scheme val="minor"/>
      </rPr>
      <t>=R</t>
    </r>
    <r>
      <rPr>
        <vertAlign val="subscript"/>
        <sz val="8"/>
        <rFont val="Calibri"/>
        <family val="2"/>
        <scheme val="minor"/>
      </rPr>
      <t>B</t>
    </r>
    <r>
      <rPr>
        <sz val="8"/>
        <rFont val="Calibri"/>
        <family val="2"/>
        <scheme val="minor"/>
      </rPr>
      <t>=R</t>
    </r>
    <r>
      <rPr>
        <vertAlign val="subscript"/>
        <sz val="8"/>
        <rFont val="Calibri"/>
        <family val="2"/>
        <scheme val="minor"/>
      </rPr>
      <t>C</t>
    </r>
    <r>
      <rPr>
        <sz val="8"/>
        <rFont val="Calibri"/>
        <family val="2"/>
        <scheme val="minor"/>
      </rPr>
      <t>=</t>
    </r>
  </si>
  <si>
    <r>
      <t>Kg/cm</t>
    </r>
    <r>
      <rPr>
        <vertAlign val="superscript"/>
        <sz val="8"/>
        <rFont val="Calibri"/>
        <family val="2"/>
        <scheme val="minor"/>
      </rPr>
      <t>2</t>
    </r>
  </si>
  <si>
    <r>
      <t>KN/m</t>
    </r>
    <r>
      <rPr>
        <vertAlign val="superscript"/>
        <sz val="8"/>
        <rFont val="Calibri"/>
        <family val="2"/>
        <scheme val="minor"/>
      </rPr>
      <t>3</t>
    </r>
  </si>
  <si>
    <r>
      <t>Ec = 5700*</t>
    </r>
    <r>
      <rPr>
        <sz val="8"/>
        <color theme="1"/>
        <rFont val="Calibri"/>
        <family val="2"/>
      </rPr>
      <t>√</t>
    </r>
    <r>
      <rPr>
        <sz val="8"/>
        <color theme="1"/>
        <rFont val="Calibri"/>
        <family val="2"/>
        <scheme val="minor"/>
      </rPr>
      <t>fck</t>
    </r>
  </si>
  <si>
    <r>
      <rPr>
        <sz val="8"/>
        <color theme="1"/>
        <rFont val="Symbol"/>
        <family val="1"/>
        <charset val="2"/>
      </rPr>
      <t>e</t>
    </r>
    <r>
      <rPr>
        <vertAlign val="subscript"/>
        <sz val="8"/>
        <color theme="1"/>
        <rFont val="Calibri"/>
        <family val="2"/>
        <scheme val="minor"/>
      </rPr>
      <t>sh</t>
    </r>
  </si>
  <si>
    <r>
      <t>mm</t>
    </r>
    <r>
      <rPr>
        <strike/>
        <vertAlign val="superscript"/>
        <sz val="8"/>
        <rFont val="Calibri"/>
        <family val="2"/>
        <scheme val="minor"/>
      </rPr>
      <t>2</t>
    </r>
  </si>
  <si>
    <r>
      <t>Kg/mm</t>
    </r>
    <r>
      <rPr>
        <vertAlign val="superscript"/>
        <sz val="8"/>
        <rFont val="Calibri"/>
        <family val="2"/>
        <scheme val="minor"/>
      </rPr>
      <t>2</t>
    </r>
  </si>
  <si>
    <r>
      <t>Load per m</t>
    </r>
    <r>
      <rPr>
        <vertAlign val="superscript"/>
        <sz val="8"/>
        <rFont val="Calibri"/>
        <family val="2"/>
        <scheme val="minor"/>
      </rPr>
      <t>2</t>
    </r>
  </si>
  <si>
    <r>
      <t>KN/m</t>
    </r>
    <r>
      <rPr>
        <vertAlign val="superscript"/>
        <sz val="8"/>
        <rFont val="Calibri"/>
        <family val="2"/>
        <scheme val="minor"/>
      </rPr>
      <t>2</t>
    </r>
  </si>
  <si>
    <r>
      <t>y</t>
    </r>
    <r>
      <rPr>
        <vertAlign val="subscript"/>
        <sz val="8"/>
        <rFont val="Calibri"/>
        <family val="2"/>
        <scheme val="minor"/>
      </rPr>
      <t>b</t>
    </r>
  </si>
  <si>
    <r>
      <t>y</t>
    </r>
    <r>
      <rPr>
        <vertAlign val="subscript"/>
        <sz val="8"/>
        <rFont val="Calibri"/>
        <family val="2"/>
        <scheme val="minor"/>
      </rPr>
      <t>t</t>
    </r>
  </si>
  <si>
    <r>
      <t>Live Load, M</t>
    </r>
    <r>
      <rPr>
        <vertAlign val="subscript"/>
        <sz val="8"/>
        <rFont val="Calibri"/>
        <family val="2"/>
        <scheme val="minor"/>
      </rPr>
      <t>B</t>
    </r>
  </si>
  <si>
    <r>
      <t>Stress in bottom fibres, C</t>
    </r>
    <r>
      <rPr>
        <vertAlign val="subscript"/>
        <sz val="8"/>
        <rFont val="Calibri"/>
        <family val="2"/>
        <scheme val="minor"/>
      </rPr>
      <t>bA</t>
    </r>
  </si>
  <si>
    <r>
      <t>Stress in top fibres , C</t>
    </r>
    <r>
      <rPr>
        <vertAlign val="subscript"/>
        <sz val="8"/>
        <rFont val="Calibri"/>
        <family val="2"/>
        <scheme val="minor"/>
      </rPr>
      <t>tA</t>
    </r>
  </si>
  <si>
    <r>
      <t>Stress in bottom fibres, C</t>
    </r>
    <r>
      <rPr>
        <vertAlign val="subscript"/>
        <sz val="8"/>
        <rFont val="Calibri"/>
        <family val="2"/>
        <scheme val="minor"/>
      </rPr>
      <t>bB</t>
    </r>
  </si>
  <si>
    <r>
      <t>Stress in top fibres , C</t>
    </r>
    <r>
      <rPr>
        <vertAlign val="subscript"/>
        <sz val="8"/>
        <rFont val="Calibri"/>
        <family val="2"/>
        <scheme val="minor"/>
      </rPr>
      <t>tB</t>
    </r>
  </si>
  <si>
    <r>
      <t>Z</t>
    </r>
    <r>
      <rPr>
        <vertAlign val="subscript"/>
        <sz val="8"/>
        <rFont val="Calibri"/>
        <family val="2"/>
        <scheme val="minor"/>
      </rPr>
      <t>b</t>
    </r>
    <r>
      <rPr>
        <sz val="8"/>
        <rFont val="Calibri"/>
        <family val="2"/>
        <scheme val="minor"/>
      </rPr>
      <t>=</t>
    </r>
  </si>
  <si>
    <r>
      <t>cm</t>
    </r>
    <r>
      <rPr>
        <vertAlign val="superscript"/>
        <sz val="8"/>
        <rFont val="Calibri"/>
        <family val="2"/>
        <scheme val="minor"/>
      </rPr>
      <t>4</t>
    </r>
    <r>
      <rPr>
        <sz val="10"/>
        <color theme="1"/>
        <rFont val="Times New Roman"/>
        <family val="2"/>
      </rPr>
      <t/>
    </r>
  </si>
  <si>
    <r>
      <t>C.G. from bottom fibre, y</t>
    </r>
    <r>
      <rPr>
        <vertAlign val="subscript"/>
        <sz val="8"/>
        <rFont val="Calibri"/>
        <family val="2"/>
        <scheme val="minor"/>
      </rPr>
      <t>b</t>
    </r>
  </si>
  <si>
    <r>
      <t>C.G. from bottom fibre, y</t>
    </r>
    <r>
      <rPr>
        <vertAlign val="subscript"/>
        <sz val="8"/>
        <rFont val="Calibri"/>
        <family val="2"/>
        <scheme val="minor"/>
      </rPr>
      <t>t</t>
    </r>
  </si>
  <si>
    <r>
      <t>Z</t>
    </r>
    <r>
      <rPr>
        <vertAlign val="subscript"/>
        <sz val="8"/>
        <rFont val="Calibri"/>
        <family val="2"/>
        <scheme val="minor"/>
      </rPr>
      <t>b</t>
    </r>
  </si>
  <si>
    <r>
      <t>Z</t>
    </r>
    <r>
      <rPr>
        <vertAlign val="subscript"/>
        <sz val="8"/>
        <rFont val="Calibri"/>
        <family val="2"/>
        <scheme val="minor"/>
      </rPr>
      <t>t</t>
    </r>
  </si>
  <si>
    <r>
      <t>Z</t>
    </r>
    <r>
      <rPr>
        <vertAlign val="subscript"/>
        <sz val="8"/>
        <rFont val="Calibri"/>
        <family val="2"/>
        <scheme val="minor"/>
      </rPr>
      <t>st</t>
    </r>
  </si>
  <si>
    <r>
      <t>N/mm</t>
    </r>
    <r>
      <rPr>
        <vertAlign val="superscript"/>
        <sz val="8"/>
        <rFont val="Calibri"/>
        <family val="2"/>
        <scheme val="minor"/>
      </rPr>
      <t>2</t>
    </r>
  </si>
  <si>
    <r>
      <t>e</t>
    </r>
    <r>
      <rPr>
        <vertAlign val="subscript"/>
        <sz val="8"/>
        <rFont val="Calibri"/>
        <family val="2"/>
        <scheme val="minor"/>
      </rPr>
      <t>sh</t>
    </r>
    <r>
      <rPr>
        <sz val="8"/>
        <rFont val="Calibri"/>
        <family val="2"/>
        <scheme val="minor"/>
      </rPr>
      <t xml:space="preserve"> (at 28 days)</t>
    </r>
  </si>
  <si>
    <r>
      <t xml:space="preserve"> *10</t>
    </r>
    <r>
      <rPr>
        <vertAlign val="superscript"/>
        <sz val="8"/>
        <rFont val="Calibri"/>
        <family val="2"/>
        <scheme val="minor"/>
      </rPr>
      <t>-6</t>
    </r>
  </si>
  <si>
    <r>
      <t>e</t>
    </r>
    <r>
      <rPr>
        <vertAlign val="subscript"/>
        <sz val="8"/>
        <rFont val="Calibri"/>
        <family val="2"/>
        <scheme val="minor"/>
      </rPr>
      <t xml:space="preserve">cr </t>
    </r>
    <r>
      <rPr>
        <sz val="8"/>
        <rFont val="Calibri"/>
        <family val="2"/>
        <scheme val="minor"/>
      </rPr>
      <t>(at 28 days)</t>
    </r>
  </si>
  <si>
    <r>
      <t xml:space="preserve"> *10</t>
    </r>
    <r>
      <rPr>
        <vertAlign val="superscript"/>
        <sz val="8"/>
        <rFont val="Calibri"/>
        <family val="2"/>
        <scheme val="minor"/>
      </rPr>
      <t>-7</t>
    </r>
    <r>
      <rPr>
        <sz val="8"/>
        <rFont val="Calibri"/>
        <family val="2"/>
        <scheme val="minor"/>
      </rPr>
      <t>/(t/m</t>
    </r>
    <r>
      <rPr>
        <vertAlign val="superscript"/>
        <sz val="8"/>
        <rFont val="Calibri"/>
        <family val="2"/>
        <scheme val="minor"/>
      </rPr>
      <t>2</t>
    </r>
    <r>
      <rPr>
        <sz val="8"/>
        <rFont val="Calibri"/>
        <family val="2"/>
        <scheme val="minor"/>
      </rPr>
      <t>)</t>
    </r>
  </si>
  <si>
    <r>
      <t xml:space="preserve"> t/m</t>
    </r>
    <r>
      <rPr>
        <vertAlign val="superscript"/>
        <sz val="8"/>
        <rFont val="Calibri"/>
        <family val="2"/>
        <scheme val="minor"/>
      </rPr>
      <t>2</t>
    </r>
  </si>
  <si>
    <r>
      <t xml:space="preserve"> *10</t>
    </r>
    <r>
      <rPr>
        <vertAlign val="superscript"/>
        <sz val="8"/>
        <rFont val="Calibri"/>
        <family val="2"/>
        <scheme val="minor"/>
      </rPr>
      <t>-5</t>
    </r>
    <r>
      <rPr>
        <sz val="8"/>
        <rFont val="Calibri"/>
        <family val="2"/>
        <scheme val="minor"/>
      </rPr>
      <t>/</t>
    </r>
    <r>
      <rPr>
        <vertAlign val="superscript"/>
        <sz val="8"/>
        <rFont val="Calibri"/>
        <family val="2"/>
        <scheme val="minor"/>
      </rPr>
      <t>o</t>
    </r>
    <r>
      <rPr>
        <sz val="8"/>
        <rFont val="Calibri"/>
        <family val="2"/>
        <scheme val="minor"/>
      </rPr>
      <t>C</t>
    </r>
  </si>
  <si>
    <r>
      <t>o</t>
    </r>
    <r>
      <rPr>
        <sz val="8"/>
        <rFont val="Calibri"/>
        <family val="2"/>
        <scheme val="minor"/>
      </rPr>
      <t>C</t>
    </r>
  </si>
  <si>
    <r>
      <t>u</t>
    </r>
    <r>
      <rPr>
        <vertAlign val="subscript"/>
        <sz val="8"/>
        <rFont val="Calibri"/>
        <family val="2"/>
        <scheme val="minor"/>
      </rPr>
      <t>sh</t>
    </r>
    <r>
      <rPr>
        <sz val="8"/>
        <rFont val="Calibri"/>
        <family val="2"/>
        <scheme val="minor"/>
      </rPr>
      <t xml:space="preserve"> =</t>
    </r>
  </si>
  <si>
    <r>
      <t>e</t>
    </r>
    <r>
      <rPr>
        <vertAlign val="subscript"/>
        <sz val="8"/>
        <rFont val="Calibri"/>
        <family val="2"/>
        <scheme val="minor"/>
      </rPr>
      <t>sh</t>
    </r>
    <r>
      <rPr>
        <sz val="8"/>
        <rFont val="Calibri"/>
        <family val="2"/>
        <scheme val="minor"/>
      </rPr>
      <t>*L</t>
    </r>
  </si>
  <si>
    <r>
      <t>u</t>
    </r>
    <r>
      <rPr>
        <vertAlign val="subscript"/>
        <sz val="8"/>
        <rFont val="Calibri"/>
        <family val="2"/>
        <scheme val="minor"/>
      </rPr>
      <t>cr</t>
    </r>
    <r>
      <rPr>
        <sz val="8"/>
        <rFont val="Calibri"/>
        <family val="2"/>
        <scheme val="minor"/>
      </rPr>
      <t xml:space="preserve"> =</t>
    </r>
  </si>
  <si>
    <r>
      <t>fb*e</t>
    </r>
    <r>
      <rPr>
        <vertAlign val="subscript"/>
        <sz val="8"/>
        <rFont val="Calibri"/>
        <family val="2"/>
        <scheme val="minor"/>
      </rPr>
      <t>cr</t>
    </r>
    <r>
      <rPr>
        <sz val="8"/>
        <rFont val="Calibri"/>
        <family val="2"/>
        <scheme val="minor"/>
      </rPr>
      <t xml:space="preserve">*L </t>
    </r>
  </si>
  <si>
    <r>
      <t>u</t>
    </r>
    <r>
      <rPr>
        <vertAlign val="subscript"/>
        <sz val="8"/>
        <rFont val="Calibri"/>
        <family val="2"/>
        <scheme val="minor"/>
      </rPr>
      <t>t</t>
    </r>
    <r>
      <rPr>
        <sz val="8"/>
        <rFont val="Calibri"/>
        <family val="2"/>
        <scheme val="minor"/>
      </rPr>
      <t xml:space="preserve"> =</t>
    </r>
  </si>
  <si>
    <r>
      <t>e</t>
    </r>
    <r>
      <rPr>
        <vertAlign val="subscript"/>
        <sz val="8"/>
        <rFont val="Calibri"/>
        <family val="2"/>
        <scheme val="minor"/>
      </rPr>
      <t>cr</t>
    </r>
    <r>
      <rPr>
        <sz val="8"/>
        <rFont val="Calibri"/>
        <family val="2"/>
        <scheme val="minor"/>
      </rPr>
      <t xml:space="preserve"> (at 28 days)           </t>
    </r>
  </si>
  <si>
    <r>
      <t>e</t>
    </r>
    <r>
      <rPr>
        <vertAlign val="subscript"/>
        <sz val="8"/>
        <rFont val="Calibri"/>
        <family val="2"/>
        <scheme val="minor"/>
      </rPr>
      <t>sh</t>
    </r>
    <r>
      <rPr>
        <sz val="8"/>
        <rFont val="Calibri"/>
        <family val="2"/>
        <scheme val="minor"/>
      </rPr>
      <t xml:space="preserve"> (at 28 days) </t>
    </r>
  </si>
  <si>
    <r>
      <t>u</t>
    </r>
    <r>
      <rPr>
        <vertAlign val="subscript"/>
        <sz val="8"/>
        <rFont val="Calibri"/>
        <family val="2"/>
        <scheme val="minor"/>
      </rPr>
      <t xml:space="preserve">sh       </t>
    </r>
  </si>
  <si>
    <r>
      <t>u</t>
    </r>
    <r>
      <rPr>
        <vertAlign val="subscript"/>
        <sz val="8"/>
        <rFont val="Calibri"/>
        <family val="2"/>
        <scheme val="minor"/>
      </rPr>
      <t xml:space="preserve">t         </t>
    </r>
  </si>
  <si>
    <r>
      <t>u</t>
    </r>
    <r>
      <rPr>
        <vertAlign val="subscript"/>
        <sz val="8"/>
        <rFont val="Calibri"/>
        <family val="2"/>
        <scheme val="minor"/>
      </rPr>
      <t xml:space="preserve">cr </t>
    </r>
    <r>
      <rPr>
        <sz val="8"/>
        <rFont val="Calibri"/>
        <family val="2"/>
        <scheme val="minor"/>
      </rPr>
      <t xml:space="preserve">              </t>
    </r>
  </si>
  <si>
    <r>
      <t>u</t>
    </r>
    <r>
      <rPr>
        <vertAlign val="subscript"/>
        <sz val="8"/>
        <rFont val="Calibri"/>
        <family val="2"/>
        <scheme val="minor"/>
      </rPr>
      <t>es</t>
    </r>
  </si>
  <si>
    <t>Additional Reinforcement</t>
  </si>
  <si>
    <t>Number of stirrups</t>
  </si>
  <si>
    <t>Bar diameter</t>
  </si>
  <si>
    <t>Spacing</t>
  </si>
  <si>
    <t>Distance from anchor plate</t>
  </si>
  <si>
    <t>Outer Dimension</t>
  </si>
  <si>
    <t>Spiral Reinforcement</t>
  </si>
  <si>
    <t>Design of Deck Slab</t>
  </si>
  <si>
    <t>Slab is designed as one way slab spanning between main beams</t>
  </si>
  <si>
    <t>Live load calculation</t>
  </si>
  <si>
    <t>Cantilever length</t>
  </si>
  <si>
    <t>C/C of main beams(lo)</t>
  </si>
  <si>
    <t>C/C ofCross-girder(b)</t>
  </si>
  <si>
    <t>Effective width of dispersion</t>
  </si>
  <si>
    <t>k x a x (1-a/lo)+b1</t>
  </si>
  <si>
    <t>k=</t>
  </si>
  <si>
    <t>depends on b/lo ratio</t>
  </si>
  <si>
    <t>b/lo=</t>
  </si>
  <si>
    <t>a=</t>
  </si>
  <si>
    <t>depends of the load from the nearest support</t>
  </si>
  <si>
    <t>Loading Class A wheeled: minimum distane from the kerb</t>
  </si>
  <si>
    <t>1+4.5/(6+l)=</t>
  </si>
  <si>
    <t>Tyre contact dimensions</t>
  </si>
  <si>
    <t>0.5 x 0.25</t>
  </si>
  <si>
    <t>b1=</t>
  </si>
  <si>
    <t xml:space="preserve">wearing_coat </t>
  </si>
  <si>
    <t>Dispersion upto the top of slab</t>
  </si>
  <si>
    <t>Effective dispersion along the span</t>
  </si>
  <si>
    <t>Dispersion upto the bottom of the slab</t>
  </si>
  <si>
    <t>Maximum wheel load</t>
  </si>
  <si>
    <t>including impact</t>
  </si>
  <si>
    <t>Effective width for L1</t>
  </si>
  <si>
    <t>beff1</t>
  </si>
  <si>
    <t>L1/contact area</t>
  </si>
  <si>
    <t>Effective width for L2</t>
  </si>
  <si>
    <t>L2/contact area</t>
  </si>
  <si>
    <t>Effective width for L3</t>
  </si>
  <si>
    <t>beff3</t>
  </si>
  <si>
    <t>L3/contact area</t>
  </si>
  <si>
    <t>beff2</t>
  </si>
  <si>
    <t>For L1 and L2</t>
  </si>
  <si>
    <t>L1/contact area(including impact)</t>
  </si>
  <si>
    <t>For L1 &amp; L2</t>
  </si>
  <si>
    <t>Loading Class A wheeled (For maximum support moment)</t>
  </si>
  <si>
    <t>Loading Class A wheeled (Maximum Load at mid span)</t>
  </si>
  <si>
    <t>(Refer Cl. 208.2.i IRC 6-2010)</t>
  </si>
  <si>
    <t>Loading Class 70R tracked: minimum distane from the kerb</t>
  </si>
  <si>
    <t>Loading Class 70R tracked (For maximum support moment)</t>
  </si>
  <si>
    <t>Loading Class 70R tracked (Maximum Load at mis-span))</t>
  </si>
  <si>
    <t>Effective width for L4</t>
  </si>
  <si>
    <t>L4/contact area</t>
  </si>
  <si>
    <t>4.57 x 0.84</t>
  </si>
  <si>
    <t>Maximum track load</t>
  </si>
  <si>
    <t xml:space="preserve">For L1 </t>
  </si>
  <si>
    <t>For L2</t>
  </si>
  <si>
    <t>For L1</t>
  </si>
  <si>
    <t xml:space="preserve">For L2 </t>
  </si>
  <si>
    <t>L2/contact area(including impact)</t>
  </si>
  <si>
    <t>Refer Cl. 305.16.2 IRC 21-2000)</t>
  </si>
  <si>
    <t>Design of section</t>
  </si>
  <si>
    <t>Material properties</t>
  </si>
  <si>
    <t>m=</t>
  </si>
  <si>
    <t>Depth=</t>
  </si>
  <si>
    <t>Cover=</t>
  </si>
  <si>
    <t>Steel</t>
  </si>
  <si>
    <t>j=</t>
  </si>
  <si>
    <t>Cantilever support(hogging)</t>
  </si>
  <si>
    <t>Intermediate support(hogging)</t>
  </si>
  <si>
    <t>Mid-span moment(sagging)</t>
  </si>
  <si>
    <t>Design moment</t>
  </si>
  <si>
    <t>Design</t>
  </si>
  <si>
    <t>Q(Mpa)=</t>
  </si>
  <si>
    <t>effective depth</t>
  </si>
  <si>
    <t xml:space="preserve">Area of steel </t>
  </si>
  <si>
    <t>provide steel of diameter</t>
  </si>
  <si>
    <t>Number of bars</t>
  </si>
  <si>
    <t>c/c distance between bars</t>
  </si>
  <si>
    <t>Depth required</t>
  </si>
  <si>
    <t>Ϭst(Mpa)=</t>
  </si>
  <si>
    <t>provide steel  of diameter</t>
  </si>
  <si>
    <t>Ϭcbc(Mpa)=</t>
  </si>
  <si>
    <t>Distribution steel</t>
  </si>
  <si>
    <t>Design moment=0.3 x LL moment + 0.2 x DL moment</t>
  </si>
  <si>
    <t>Max live load moment</t>
  </si>
  <si>
    <t>Max dead load moment</t>
  </si>
  <si>
    <t>Ast required</t>
  </si>
  <si>
    <t>0.12% of cross-sectional area</t>
  </si>
  <si>
    <t>effective depth (including girder flange)</t>
  </si>
  <si>
    <t>adopt spacing</t>
  </si>
  <si>
    <t>Refer clause 208.3  IRC 6-2010</t>
  </si>
  <si>
    <t>Live Load considered due to 70R tracked vehicle</t>
  </si>
  <si>
    <t>Footpath</t>
  </si>
  <si>
    <t>Unit weight of precast girder</t>
  </si>
  <si>
    <t>Vehicle(Envelope)</t>
  </si>
  <si>
    <t>gd</t>
  </si>
  <si>
    <t>gpsc</t>
  </si>
  <si>
    <t>G5</t>
  </si>
  <si>
    <t>G6</t>
  </si>
  <si>
    <t>camber(2%)</t>
  </si>
  <si>
    <t>Table : Bending Moment(Girder G5)</t>
  </si>
  <si>
    <t>Table : Dead Load Shear(Girder G5)</t>
  </si>
  <si>
    <r>
      <t>Dead Load, M</t>
    </r>
    <r>
      <rPr>
        <vertAlign val="subscript"/>
        <sz val="8"/>
        <rFont val="Calibri"/>
        <family val="2"/>
        <scheme val="minor"/>
      </rPr>
      <t>A</t>
    </r>
    <r>
      <rPr>
        <sz val="8"/>
        <rFont val="Calibri"/>
        <family val="2"/>
        <scheme val="minor"/>
      </rPr>
      <t>=</t>
    </r>
  </si>
  <si>
    <r>
      <t>Poe-</t>
    </r>
    <r>
      <rPr>
        <vertAlign val="superscript"/>
        <sz val="8"/>
        <rFont val="Calibri"/>
        <family val="2"/>
        <scheme val="minor"/>
      </rPr>
      <t>(kx+μθ)</t>
    </r>
  </si>
  <si>
    <t>Nos.</t>
  </si>
  <si>
    <t>Horizontal shear transfer(Top Flange)</t>
  </si>
  <si>
    <t>Intermediate Diaphragm</t>
  </si>
  <si>
    <t>Effective flange width=</t>
  </si>
  <si>
    <t>bw+(lo/5), as per IRC:21-2000, for T-beams</t>
  </si>
  <si>
    <t>dwt</t>
  </si>
  <si>
    <t>scg</t>
  </si>
  <si>
    <t>Load due to dead load=</t>
  </si>
  <si>
    <t>End Diaphragm</t>
  </si>
  <si>
    <t>bw+(lo/10), as per IRC:21-2000, for L-beams</t>
  </si>
  <si>
    <t>Please Check slip loss, there might be problem</t>
  </si>
  <si>
    <t xml:space="preserve"> Programmed by Prafulla Malla email: Praf_malla@hotmail.com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</si>
</sst>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0000"/>
    <numFmt numFmtId="165" formatCode="0.000E+00"/>
    <numFmt numFmtId="166" formatCode="0.000"/>
    <numFmt numFmtId="167" formatCode="0.0"/>
    <numFmt numFmtId="168" formatCode="0.0E+00"/>
    <numFmt numFmtId="169" formatCode="0.000_)"/>
    <numFmt numFmtId="170" formatCode="0.00_)"/>
    <numFmt numFmtId="171" formatCode="0_)"/>
    <numFmt numFmtId="172" formatCode="0.0_)"/>
  </numFmts>
  <fonts count="66" x14ac:knownFonts="1">
    <font>
      <sz val="10"/>
      <name val="Arial"/>
    </font>
    <font>
      <sz val="11"/>
      <color theme="1"/>
      <name val="Calibri"/>
      <family val="2"/>
      <scheme val="minor"/>
    </font>
    <font>
      <sz val="10"/>
      <color theme="1"/>
      <name val="Times New Roman"/>
      <family val="2"/>
    </font>
    <font>
      <sz val="10"/>
      <color theme="1"/>
      <name val="Times New Roman"/>
      <family val="2"/>
    </font>
    <font>
      <sz val="10"/>
      <color theme="1"/>
      <name val="Times New Roman"/>
      <family val="2"/>
    </font>
    <font>
      <sz val="10"/>
      <color theme="1"/>
      <name val="Times New Roman"/>
      <family val="2"/>
    </font>
    <font>
      <sz val="10"/>
      <color theme="1"/>
      <name val="Times New Roman"/>
      <family val="2"/>
    </font>
    <font>
      <sz val="10"/>
      <color theme="1"/>
      <name val="Times New Roman"/>
      <family val="2"/>
    </font>
    <font>
      <sz val="11"/>
      <color theme="1"/>
      <name val="Calibri"/>
      <family val="2"/>
      <scheme val="minor"/>
    </font>
    <font>
      <sz val="10"/>
      <color theme="1"/>
      <name val="Times New Roman"/>
      <family val="2"/>
    </font>
    <font>
      <sz val="10"/>
      <color theme="1"/>
      <name val="Times New Roman"/>
      <family val="2"/>
    </font>
    <font>
      <sz val="10"/>
      <color theme="1"/>
      <name val="Times New Roman"/>
      <family val="2"/>
    </font>
    <font>
      <sz val="10"/>
      <color theme="1"/>
      <name val="Times New Roman"/>
      <family val="2"/>
    </font>
    <font>
      <sz val="9"/>
      <name val="Arial"/>
      <family val="2"/>
    </font>
    <font>
      <sz val="8"/>
      <name val="Arial"/>
      <family val="2"/>
    </font>
    <font>
      <sz val="8"/>
      <name val="Tahoma"/>
      <family val="2"/>
    </font>
    <font>
      <sz val="11"/>
      <color rgb="FFFF0000"/>
      <name val="Calibri"/>
      <family val="2"/>
      <scheme val="minor"/>
    </font>
    <font>
      <b/>
      <sz val="11"/>
      <color theme="1"/>
      <name val="Calibri"/>
      <family val="2"/>
      <scheme val="minor"/>
    </font>
    <font>
      <sz val="8"/>
      <color indexed="81"/>
      <name val="Tahoma"/>
      <family val="2"/>
    </font>
    <font>
      <b/>
      <sz val="8"/>
      <color indexed="81"/>
      <name val="Tahoma"/>
      <family val="2"/>
    </font>
    <font>
      <sz val="12"/>
      <color theme="1"/>
      <name val="Calibri"/>
      <family val="2"/>
      <scheme val="minor"/>
    </font>
    <font>
      <b/>
      <sz val="12"/>
      <color rgb="FFFF0000"/>
      <name val="Calibri"/>
      <family val="2"/>
      <scheme val="minor"/>
    </font>
    <font>
      <b/>
      <sz val="12"/>
      <color theme="1"/>
      <name val="Calibri"/>
      <family val="2"/>
      <scheme val="minor"/>
    </font>
    <font>
      <vertAlign val="subscript"/>
      <sz val="12"/>
      <color theme="1"/>
      <name val="Calibri"/>
      <family val="2"/>
      <scheme val="minor"/>
    </font>
    <font>
      <sz val="12"/>
      <color theme="1"/>
      <name val="Symbol"/>
      <family val="1"/>
      <charset val="2"/>
    </font>
    <font>
      <vertAlign val="subscript"/>
      <sz val="11"/>
      <color theme="1"/>
      <name val="Calibri"/>
      <family val="2"/>
      <scheme val="minor"/>
    </font>
    <font>
      <b/>
      <sz val="11"/>
      <color rgb="FFFF0000"/>
      <name val="Calibri"/>
      <family val="2"/>
      <scheme val="minor"/>
    </font>
    <font>
      <b/>
      <sz val="11"/>
      <color theme="1"/>
      <name val="Symbol"/>
      <family val="1"/>
      <charset val="2"/>
    </font>
    <font>
      <sz val="11"/>
      <color rgb="FF7030A0"/>
      <name val="Calibri"/>
      <family val="2"/>
      <scheme val="minor"/>
    </font>
    <font>
      <sz val="11"/>
      <color theme="1"/>
      <name val="Symbol"/>
      <family val="1"/>
      <charset val="2"/>
    </font>
    <font>
      <sz val="12"/>
      <color theme="1"/>
      <name val="Calibri"/>
      <family val="2"/>
    </font>
    <font>
      <sz val="10"/>
      <name val="Times New Roman"/>
      <family val="1"/>
    </font>
    <font>
      <sz val="10"/>
      <name val="Arial"/>
      <family val="2"/>
    </font>
    <font>
      <sz val="12"/>
      <color rgb="FFFF0000"/>
      <name val="Calibri"/>
      <family val="2"/>
      <scheme val="minor"/>
    </font>
    <font>
      <b/>
      <i/>
      <sz val="12"/>
      <color rgb="FFFF0000"/>
      <name val="Calibri"/>
      <family val="2"/>
      <scheme val="minor"/>
    </font>
    <font>
      <sz val="10"/>
      <name val="Arial"/>
      <family val="2"/>
    </font>
    <font>
      <b/>
      <u/>
      <sz val="11"/>
      <color theme="1"/>
      <name val="Calibri"/>
      <family val="2"/>
      <scheme val="minor"/>
    </font>
    <font>
      <b/>
      <sz val="10"/>
      <color indexed="10"/>
      <name val="Arial"/>
      <family val="2"/>
    </font>
    <font>
      <sz val="8"/>
      <name val="Calibri"/>
      <family val="2"/>
      <scheme val="minor"/>
    </font>
    <font>
      <sz val="8"/>
      <color theme="1"/>
      <name val="Calibri"/>
      <family val="2"/>
      <scheme val="minor"/>
    </font>
    <font>
      <sz val="8"/>
      <color theme="1"/>
      <name val="Symbol"/>
      <family val="1"/>
      <charset val="2"/>
    </font>
    <font>
      <vertAlign val="subscript"/>
      <sz val="8"/>
      <color theme="1"/>
      <name val="Calibri"/>
      <family val="2"/>
      <scheme val="minor"/>
    </font>
    <font>
      <b/>
      <sz val="8"/>
      <color theme="1"/>
      <name val="Calibri"/>
      <family val="2"/>
      <scheme val="minor"/>
    </font>
    <font>
      <sz val="8"/>
      <color rgb="FF0000FF"/>
      <name val="Calibri"/>
      <family val="2"/>
      <scheme val="minor"/>
    </font>
    <font>
      <vertAlign val="superscript"/>
      <sz val="8"/>
      <color theme="1"/>
      <name val="Calibri"/>
      <family val="2"/>
      <scheme val="minor"/>
    </font>
    <font>
      <sz val="8"/>
      <color theme="1"/>
      <name val="Calibri"/>
      <family val="2"/>
    </font>
    <font>
      <sz val="8"/>
      <color theme="1"/>
      <name val="Times New Roman"/>
      <family val="1"/>
    </font>
    <font>
      <b/>
      <sz val="8"/>
      <name val="Calibri"/>
      <family val="2"/>
      <scheme val="minor"/>
    </font>
    <font>
      <b/>
      <sz val="8"/>
      <color rgb="FF0000FF"/>
      <name val="Calibri"/>
      <family val="2"/>
      <scheme val="minor"/>
    </font>
    <font>
      <vertAlign val="superscript"/>
      <sz val="8"/>
      <name val="Calibri"/>
      <family val="2"/>
      <scheme val="minor"/>
    </font>
    <font>
      <b/>
      <vertAlign val="superscript"/>
      <sz val="8"/>
      <color theme="1"/>
      <name val="Calibri"/>
      <family val="2"/>
      <scheme val="minor"/>
    </font>
    <font>
      <sz val="8"/>
      <color theme="0"/>
      <name val="Calibri"/>
      <family val="2"/>
      <scheme val="minor"/>
    </font>
    <font>
      <b/>
      <sz val="8"/>
      <color theme="0"/>
      <name val="Calibri"/>
      <family val="2"/>
      <scheme val="minor"/>
    </font>
    <font>
      <vertAlign val="subscript"/>
      <sz val="8"/>
      <name val="Calibri"/>
      <family val="2"/>
      <scheme val="minor"/>
    </font>
    <font>
      <b/>
      <u/>
      <sz val="8"/>
      <name val="Calibri"/>
      <family val="2"/>
      <scheme val="minor"/>
    </font>
    <font>
      <sz val="8"/>
      <color rgb="FF000000"/>
      <name val="Calibri"/>
      <family val="2"/>
      <scheme val="minor"/>
    </font>
    <font>
      <vertAlign val="subscript"/>
      <sz val="8"/>
      <color rgb="FF000000"/>
      <name val="Calibri"/>
      <family val="2"/>
      <scheme val="minor"/>
    </font>
    <font>
      <sz val="8"/>
      <color rgb="FFFF0000"/>
      <name val="Calibri"/>
      <family val="2"/>
      <scheme val="minor"/>
    </font>
    <font>
      <sz val="8"/>
      <name val="Times New Roman"/>
      <family val="1"/>
    </font>
    <font>
      <vertAlign val="subscript"/>
      <sz val="8"/>
      <name val="Times New Roman"/>
      <family val="1"/>
    </font>
    <font>
      <sz val="8"/>
      <name val="Calibri"/>
      <family val="2"/>
    </font>
    <font>
      <strike/>
      <vertAlign val="superscript"/>
      <sz val="8"/>
      <name val="Calibri"/>
      <family val="2"/>
      <scheme val="minor"/>
    </font>
    <font>
      <i/>
      <sz val="8"/>
      <name val="Calibri"/>
      <family val="2"/>
      <scheme val="minor"/>
    </font>
    <font>
      <sz val="8"/>
      <color theme="8" tint="-0.249977111117893"/>
      <name val="Calibri"/>
      <family val="2"/>
      <scheme val="minor"/>
    </font>
    <font>
      <b/>
      <i/>
      <u/>
      <sz val="8"/>
      <name val="Calibri"/>
      <family val="2"/>
      <scheme val="minor"/>
    </font>
    <font>
      <b/>
      <sz val="8"/>
      <color indexed="12"/>
      <name val="Calibri"/>
      <family val="2"/>
      <scheme val="minor"/>
    </font>
  </fonts>
  <fills count="10">
    <fill>
      <patternFill patternType="none"/>
    </fill>
    <fill>
      <patternFill patternType="gray125"/>
    </fill>
    <fill>
      <patternFill patternType="solid">
        <fgColor indexed="26"/>
        <bgColor indexed="64"/>
      </patternFill>
    </fill>
    <fill>
      <patternFill patternType="solid">
        <fgColor rgb="FFFFFF00"/>
        <bgColor indexed="64"/>
      </patternFill>
    </fill>
    <fill>
      <patternFill patternType="solid">
        <fgColor theme="4" tint="0.39997558519241921"/>
        <bgColor indexed="64"/>
      </patternFill>
    </fill>
    <fill>
      <patternFill patternType="solid">
        <fgColor theme="0"/>
        <bgColor indexed="64"/>
      </patternFill>
    </fill>
    <fill>
      <patternFill patternType="solid">
        <fgColor rgb="FFFF0000"/>
        <bgColor indexed="64"/>
      </patternFill>
    </fill>
    <fill>
      <patternFill patternType="solid">
        <fgColor theme="0" tint="-0.249977111117893"/>
        <bgColor indexed="64"/>
      </patternFill>
    </fill>
    <fill>
      <patternFill patternType="solid">
        <fgColor rgb="FF0BB538"/>
        <bgColor indexed="64"/>
      </patternFill>
    </fill>
    <fill>
      <patternFill patternType="solid">
        <fgColor rgb="FFFFC000"/>
        <bgColor indexed="64"/>
      </patternFill>
    </fill>
  </fills>
  <borders count="22">
    <border>
      <left/>
      <right/>
      <top/>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s>
  <cellStyleXfs count="14">
    <xf numFmtId="0" fontId="0" fillId="0" borderId="0" applyNumberFormat="0"/>
    <xf numFmtId="0" fontId="12" fillId="0" borderId="0"/>
    <xf numFmtId="0" fontId="11" fillId="0" borderId="0"/>
    <xf numFmtId="0" fontId="10" fillId="0" borderId="0"/>
    <xf numFmtId="0" fontId="9" fillId="0" borderId="0"/>
    <xf numFmtId="0" fontId="8" fillId="0" borderId="0"/>
    <xf numFmtId="0" fontId="7" fillId="0" borderId="0"/>
    <xf numFmtId="0" fontId="6" fillId="0" borderId="0"/>
    <xf numFmtId="0" fontId="35" fillId="0" borderId="0"/>
    <xf numFmtId="0" fontId="5" fillId="0" borderId="0"/>
    <xf numFmtId="0" fontId="4" fillId="0" borderId="0"/>
    <xf numFmtId="0" fontId="32" fillId="0" borderId="0"/>
    <xf numFmtId="0" fontId="3" fillId="0" borderId="0"/>
    <xf numFmtId="0" fontId="1" fillId="0" borderId="0"/>
  </cellStyleXfs>
  <cellXfs count="467">
    <xf numFmtId="0" fontId="0" fillId="0" borderId="0" xfId="0"/>
    <xf numFmtId="0" fontId="8" fillId="0" borderId="0" xfId="5"/>
    <xf numFmtId="0" fontId="20" fillId="0" borderId="0" xfId="5" applyFont="1"/>
    <xf numFmtId="11" fontId="8" fillId="0" borderId="0" xfId="5" applyNumberFormat="1"/>
    <xf numFmtId="0" fontId="8" fillId="3" borderId="0" xfId="5" applyFill="1"/>
    <xf numFmtId="0" fontId="17" fillId="0" borderId="0" xfId="5" applyFont="1"/>
    <xf numFmtId="0" fontId="8" fillId="0" borderId="0" xfId="5" applyFont="1"/>
    <xf numFmtId="0" fontId="8" fillId="0" borderId="0" xfId="5" applyAlignment="1">
      <alignment wrapText="1"/>
    </xf>
    <xf numFmtId="0" fontId="17" fillId="0" borderId="0" xfId="5" applyFont="1" applyAlignment="1">
      <alignment wrapText="1"/>
    </xf>
    <xf numFmtId="0" fontId="20" fillId="0" borderId="0" xfId="5" applyFont="1" applyAlignment="1">
      <alignment horizontal="left"/>
    </xf>
    <xf numFmtId="0" fontId="16" fillId="0" borderId="0" xfId="5" applyFont="1"/>
    <xf numFmtId="0" fontId="8" fillId="0" borderId="0" xfId="5" applyFont="1" applyAlignment="1">
      <alignment wrapText="1"/>
    </xf>
    <xf numFmtId="0" fontId="8" fillId="0" borderId="0" xfId="5" applyFill="1"/>
    <xf numFmtId="0" fontId="26" fillId="0" borderId="0" xfId="5" applyFont="1"/>
    <xf numFmtId="2" fontId="8" fillId="0" borderId="0" xfId="5" applyNumberFormat="1"/>
    <xf numFmtId="0" fontId="27" fillId="0" borderId="0" xfId="5" applyFont="1"/>
    <xf numFmtId="0" fontId="8" fillId="0" borderId="0" xfId="5" applyAlignment="1">
      <alignment horizontal="right" wrapText="1"/>
    </xf>
    <xf numFmtId="0" fontId="28" fillId="0" borderId="0" xfId="5" applyFont="1"/>
    <xf numFmtId="0" fontId="29" fillId="0" borderId="0" xfId="5" applyFont="1"/>
    <xf numFmtId="0" fontId="31" fillId="0" borderId="0" xfId="0" applyFont="1"/>
    <xf numFmtId="0" fontId="20" fillId="0" borderId="0" xfId="5" applyFont="1" applyAlignment="1">
      <alignment horizontal="right"/>
    </xf>
    <xf numFmtId="0" fontId="8" fillId="0" borderId="0" xfId="5" applyAlignment="1">
      <alignment horizontal="right"/>
    </xf>
    <xf numFmtId="2" fontId="8" fillId="0" borderId="0" xfId="5" applyNumberFormat="1" applyFill="1"/>
    <xf numFmtId="0" fontId="36" fillId="0" borderId="0" xfId="5" applyFont="1"/>
    <xf numFmtId="0" fontId="8" fillId="0" borderId="4" xfId="5" applyBorder="1"/>
    <xf numFmtId="2" fontId="8" fillId="3" borderId="5" xfId="5" applyNumberFormat="1" applyFill="1" applyBorder="1"/>
    <xf numFmtId="0" fontId="8" fillId="0" borderId="6" xfId="5" applyBorder="1"/>
    <xf numFmtId="2" fontId="8" fillId="4" borderId="7" xfId="5" applyNumberFormat="1" applyFill="1" applyBorder="1"/>
    <xf numFmtId="2" fontId="22" fillId="0" borderId="7" xfId="5" applyNumberFormat="1" applyFont="1" applyBorder="1"/>
    <xf numFmtId="2" fontId="21" fillId="0" borderId="7" xfId="5" applyNumberFormat="1" applyFont="1" applyBorder="1"/>
    <xf numFmtId="2" fontId="8" fillId="3" borderId="7" xfId="5" applyNumberFormat="1" applyFill="1" applyBorder="1"/>
    <xf numFmtId="0" fontId="8" fillId="0" borderId="8" xfId="5" applyBorder="1"/>
    <xf numFmtId="2" fontId="21" fillId="0" borderId="9" xfId="5" applyNumberFormat="1" applyFont="1" applyBorder="1"/>
    <xf numFmtId="2" fontId="20" fillId="3" borderId="5" xfId="5" applyNumberFormat="1" applyFont="1" applyFill="1" applyBorder="1"/>
    <xf numFmtId="2" fontId="20" fillId="4" borderId="7" xfId="5" applyNumberFormat="1" applyFont="1" applyFill="1" applyBorder="1"/>
    <xf numFmtId="2" fontId="20" fillId="3" borderId="7" xfId="5" applyNumberFormat="1" applyFont="1" applyFill="1" applyBorder="1"/>
    <xf numFmtId="2" fontId="34" fillId="0" borderId="7" xfId="5" applyNumberFormat="1" applyFont="1" applyBorder="1"/>
    <xf numFmtId="2" fontId="33" fillId="0" borderId="7" xfId="5" applyNumberFormat="1" applyFont="1" applyBorder="1"/>
    <xf numFmtId="0" fontId="8" fillId="0" borderId="5" xfId="5" applyBorder="1"/>
    <xf numFmtId="0" fontId="8" fillId="0" borderId="7" xfId="5" applyBorder="1"/>
    <xf numFmtId="0" fontId="8" fillId="0" borderId="9" xfId="5" applyBorder="1"/>
    <xf numFmtId="0" fontId="31" fillId="0" borderId="0" xfId="0" applyFont="1" applyAlignment="1">
      <alignment horizontal="right" vertical="top"/>
    </xf>
    <xf numFmtId="0" fontId="31" fillId="0" borderId="0" xfId="0" applyFont="1" applyAlignment="1">
      <alignment wrapText="1"/>
    </xf>
    <xf numFmtId="0" fontId="31" fillId="0" borderId="0" xfId="0" applyFont="1" applyAlignment="1">
      <alignment horizontal="left" wrapText="1"/>
    </xf>
    <xf numFmtId="0" fontId="38" fillId="0" borderId="0" xfId="0" applyFont="1"/>
    <xf numFmtId="0" fontId="38" fillId="0" borderId="0" xfId="11" applyFont="1"/>
    <xf numFmtId="0" fontId="38" fillId="0" borderId="0" xfId="5" applyFont="1"/>
    <xf numFmtId="0" fontId="38" fillId="0" borderId="0" xfId="8" applyFont="1"/>
    <xf numFmtId="0" fontId="39" fillId="0" borderId="0" xfId="5" applyFont="1" applyAlignment="1">
      <alignment horizontal="left" wrapText="1"/>
    </xf>
    <xf numFmtId="0" fontId="39" fillId="0" borderId="0" xfId="5" applyFont="1"/>
    <xf numFmtId="0" fontId="39" fillId="0" borderId="0" xfId="5" applyFont="1" applyAlignment="1">
      <alignment horizontal="left"/>
    </xf>
    <xf numFmtId="0" fontId="42" fillId="0" borderId="0" xfId="5" applyFont="1"/>
    <xf numFmtId="0" fontId="42" fillId="0" borderId="0" xfId="5" applyFont="1" applyAlignment="1">
      <alignment horizontal="left" wrapText="1"/>
    </xf>
    <xf numFmtId="0" fontId="43" fillId="0" borderId="0" xfId="5" applyFont="1"/>
    <xf numFmtId="2" fontId="39" fillId="0" borderId="0" xfId="5" applyNumberFormat="1" applyFont="1"/>
    <xf numFmtId="0" fontId="39" fillId="6" borderId="0" xfId="5" applyFont="1" applyFill="1"/>
    <xf numFmtId="2" fontId="39" fillId="6" borderId="0" xfId="5" applyNumberFormat="1" applyFont="1" applyFill="1"/>
    <xf numFmtId="0" fontId="39" fillId="0" borderId="0" xfId="5" applyFont="1" applyFill="1"/>
    <xf numFmtId="2" fontId="39" fillId="0" borderId="0" xfId="5" applyNumberFormat="1" applyFont="1" applyFill="1"/>
    <xf numFmtId="0" fontId="45" fillId="0" borderId="0" xfId="5" applyFont="1"/>
    <xf numFmtId="0" fontId="39" fillId="3" borderId="0" xfId="5" applyFont="1" applyFill="1"/>
    <xf numFmtId="2" fontId="39" fillId="3" borderId="0" xfId="5" applyNumberFormat="1" applyFont="1" applyFill="1"/>
    <xf numFmtId="0" fontId="39" fillId="3" borderId="0" xfId="5" applyFont="1" applyFill="1" applyAlignment="1">
      <alignment horizontal="left" wrapText="1"/>
    </xf>
    <xf numFmtId="0" fontId="42" fillId="3" borderId="0" xfId="5" applyFont="1" applyFill="1"/>
    <xf numFmtId="0" fontId="39" fillId="3" borderId="0" xfId="5" applyFont="1" applyFill="1" applyAlignment="1">
      <alignment horizontal="left"/>
    </xf>
    <xf numFmtId="0" fontId="43" fillId="3" borderId="0" xfId="5" applyFont="1" applyFill="1"/>
    <xf numFmtId="166" fontId="39" fillId="0" borderId="0" xfId="5" applyNumberFormat="1" applyFont="1"/>
    <xf numFmtId="0" fontId="38" fillId="0" borderId="0" xfId="0" applyFont="1" applyAlignment="1">
      <alignment horizontal="right"/>
    </xf>
    <xf numFmtId="0" fontId="47" fillId="0" borderId="0" xfId="0" applyFont="1"/>
    <xf numFmtId="0" fontId="39" fillId="0" borderId="10" xfId="0" applyFont="1" applyBorder="1" applyAlignment="1">
      <alignment horizontal="center" vertical="center"/>
    </xf>
    <xf numFmtId="0" fontId="39" fillId="0" borderId="5" xfId="0" applyFont="1" applyBorder="1" applyAlignment="1">
      <alignment horizontal="center" vertical="center"/>
    </xf>
    <xf numFmtId="0" fontId="38" fillId="0" borderId="14" xfId="0" applyFont="1" applyBorder="1"/>
    <xf numFmtId="0" fontId="38" fillId="0" borderId="17" xfId="0" applyFont="1" applyBorder="1"/>
    <xf numFmtId="2" fontId="38" fillId="0" borderId="3" xfId="0" applyNumberFormat="1" applyFont="1" applyBorder="1" applyAlignment="1">
      <alignment horizontal="center" vertical="center"/>
    </xf>
    <xf numFmtId="2" fontId="38" fillId="0" borderId="15" xfId="0" applyNumberFormat="1" applyFont="1" applyBorder="1" applyAlignment="1">
      <alignment horizontal="center" vertical="center"/>
    </xf>
    <xf numFmtId="0" fontId="38" fillId="0" borderId="8" xfId="0" applyFont="1" applyBorder="1"/>
    <xf numFmtId="0" fontId="38" fillId="0" borderId="16" xfId="0" applyFont="1" applyBorder="1"/>
    <xf numFmtId="2" fontId="38" fillId="0" borderId="12" xfId="0" applyNumberFormat="1" applyFont="1" applyBorder="1" applyAlignment="1">
      <alignment horizontal="center" vertical="center"/>
    </xf>
    <xf numFmtId="2" fontId="38" fillId="0" borderId="9" xfId="0" applyNumberFormat="1" applyFont="1" applyBorder="1" applyAlignment="1">
      <alignment horizontal="center" vertical="center"/>
    </xf>
    <xf numFmtId="2" fontId="38" fillId="0" borderId="0" xfId="0" applyNumberFormat="1" applyFont="1" applyAlignment="1">
      <alignment horizontal="center" vertical="center"/>
    </xf>
    <xf numFmtId="0" fontId="43" fillId="0" borderId="0" xfId="0" applyFont="1"/>
    <xf numFmtId="0" fontId="38" fillId="0" borderId="0" xfId="0" applyFont="1" applyFill="1"/>
    <xf numFmtId="0" fontId="38" fillId="0" borderId="0" xfId="0" applyFont="1" applyAlignment="1">
      <alignment wrapText="1"/>
    </xf>
    <xf numFmtId="0" fontId="38" fillId="3" borderId="0" xfId="0" applyFont="1" applyFill="1"/>
    <xf numFmtId="0" fontId="38" fillId="0" borderId="3" xfId="0" applyFont="1" applyBorder="1" applyAlignment="1">
      <alignment wrapText="1"/>
    </xf>
    <xf numFmtId="1" fontId="48" fillId="0" borderId="15" xfId="0" applyNumberFormat="1" applyFont="1" applyBorder="1" applyAlignment="1">
      <alignment horizontal="center" vertical="center" wrapText="1"/>
    </xf>
    <xf numFmtId="1" fontId="48" fillId="0" borderId="15" xfId="0" applyNumberFormat="1" applyFont="1" applyBorder="1" applyAlignment="1">
      <alignment horizontal="center" vertical="center"/>
    </xf>
    <xf numFmtId="2" fontId="38" fillId="0" borderId="15" xfId="0" applyNumberFormat="1" applyFont="1" applyFill="1" applyBorder="1" applyAlignment="1">
      <alignment horizontal="center" vertical="center"/>
    </xf>
    <xf numFmtId="0" fontId="43" fillId="0" borderId="12" xfId="0" applyFont="1" applyBorder="1" applyAlignment="1">
      <alignment horizontal="center" vertical="center"/>
    </xf>
    <xf numFmtId="2" fontId="38" fillId="0" borderId="9" xfId="0" applyNumberFormat="1" applyFont="1" applyBorder="1" applyAlignment="1">
      <alignment horizontal="center" wrapText="1"/>
    </xf>
    <xf numFmtId="2" fontId="38" fillId="0" borderId="9" xfId="0" applyNumberFormat="1" applyFont="1" applyFill="1" applyBorder="1" applyAlignment="1">
      <alignment horizontal="center"/>
    </xf>
    <xf numFmtId="0" fontId="47" fillId="0" borderId="10" xfId="0" applyFont="1" applyBorder="1" applyAlignment="1">
      <alignment horizontal="center" vertical="center" wrapText="1"/>
    </xf>
    <xf numFmtId="0" fontId="47" fillId="0" borderId="5" xfId="0" applyFont="1" applyBorder="1" applyAlignment="1">
      <alignment horizontal="center" vertical="center" wrapText="1"/>
    </xf>
    <xf numFmtId="0" fontId="38" fillId="0" borderId="3" xfId="0" applyFont="1" applyBorder="1" applyAlignment="1">
      <alignment horizontal="center" vertical="center"/>
    </xf>
    <xf numFmtId="2" fontId="38" fillId="0" borderId="15" xfId="0" applyNumberFormat="1" applyFont="1" applyBorder="1" applyAlignment="1">
      <alignment horizontal="center" vertical="center" wrapText="1"/>
    </xf>
    <xf numFmtId="2" fontId="47" fillId="0" borderId="15" xfId="0" applyNumberFormat="1" applyFont="1" applyBorder="1" applyAlignment="1">
      <alignment horizontal="center" vertical="center" wrapText="1"/>
    </xf>
    <xf numFmtId="0" fontId="38" fillId="0" borderId="12" xfId="0" applyFont="1" applyBorder="1" applyAlignment="1">
      <alignment horizontal="center" vertical="center"/>
    </xf>
    <xf numFmtId="2" fontId="38" fillId="0" borderId="9" xfId="0" applyNumberFormat="1" applyFont="1" applyBorder="1" applyAlignment="1">
      <alignment horizontal="center" vertical="center" wrapText="1"/>
    </xf>
    <xf numFmtId="2" fontId="47" fillId="0" borderId="9" xfId="0" applyNumberFormat="1" applyFont="1" applyBorder="1" applyAlignment="1">
      <alignment horizontal="center" vertical="center" wrapText="1"/>
    </xf>
    <xf numFmtId="0" fontId="47" fillId="0" borderId="12" xfId="0" applyFont="1" applyBorder="1" applyAlignment="1">
      <alignment horizontal="center" vertical="center" wrapText="1"/>
    </xf>
    <xf numFmtId="2" fontId="47" fillId="0" borderId="0" xfId="0" applyNumberFormat="1" applyFont="1"/>
    <xf numFmtId="0" fontId="42" fillId="0" borderId="0" xfId="0" applyFont="1"/>
    <xf numFmtId="0" fontId="47" fillId="0" borderId="0" xfId="0" applyFont="1" applyAlignment="1">
      <alignment wrapText="1"/>
    </xf>
    <xf numFmtId="0" fontId="47" fillId="0" borderId="3" xfId="0" applyFont="1" applyBorder="1" applyAlignment="1">
      <alignment horizontal="center" vertical="center" wrapText="1"/>
    </xf>
    <xf numFmtId="0" fontId="47" fillId="0" borderId="15" xfId="0" applyFont="1" applyBorder="1" applyAlignment="1">
      <alignment horizontal="center" vertical="center"/>
    </xf>
    <xf numFmtId="0" fontId="47" fillId="0" borderId="12" xfId="0" applyFont="1" applyBorder="1" applyAlignment="1">
      <alignment horizontal="center" vertical="center"/>
    </xf>
    <xf numFmtId="2" fontId="47" fillId="0" borderId="9" xfId="0" applyNumberFormat="1" applyFont="1" applyBorder="1" applyAlignment="1">
      <alignment horizontal="center" vertical="center"/>
    </xf>
    <xf numFmtId="0" fontId="38" fillId="0" borderId="4" xfId="0" applyFont="1" applyBorder="1"/>
    <xf numFmtId="0" fontId="38" fillId="0" borderId="5" xfId="0" applyFont="1" applyBorder="1"/>
    <xf numFmtId="0" fontId="47" fillId="0" borderId="5" xfId="0" applyFont="1" applyBorder="1" applyAlignment="1">
      <alignment horizontal="center" vertical="center"/>
    </xf>
    <xf numFmtId="2" fontId="38" fillId="0" borderId="5" xfId="0" applyNumberFormat="1" applyFont="1" applyBorder="1" applyAlignment="1">
      <alignment horizontal="center" vertical="center"/>
    </xf>
    <xf numFmtId="2" fontId="47" fillId="0" borderId="5" xfId="0" applyNumberFormat="1" applyFont="1" applyBorder="1" applyAlignment="1">
      <alignment horizontal="center" vertical="center"/>
    </xf>
    <xf numFmtId="0" fontId="38" fillId="0" borderId="15" xfId="0" applyFont="1" applyBorder="1"/>
    <xf numFmtId="2" fontId="47" fillId="0" borderId="15" xfId="0" applyNumberFormat="1" applyFont="1" applyBorder="1" applyAlignment="1">
      <alignment horizontal="center" vertical="center"/>
    </xf>
    <xf numFmtId="0" fontId="42" fillId="0" borderId="3" xfId="0" applyFont="1" applyBorder="1" applyAlignment="1">
      <alignment horizontal="center" vertical="center"/>
    </xf>
    <xf numFmtId="0" fontId="42" fillId="0" borderId="15" xfId="0" applyFont="1" applyBorder="1" applyAlignment="1">
      <alignment horizontal="center" vertical="center"/>
    </xf>
    <xf numFmtId="2" fontId="42" fillId="0" borderId="12" xfId="0" applyNumberFormat="1" applyFont="1" applyBorder="1" applyAlignment="1">
      <alignment horizontal="center" vertical="center"/>
    </xf>
    <xf numFmtId="2" fontId="42" fillId="0" borderId="9" xfId="0" applyNumberFormat="1" applyFont="1" applyBorder="1" applyAlignment="1">
      <alignment horizontal="center" vertical="center"/>
    </xf>
    <xf numFmtId="2" fontId="38" fillId="0" borderId="4" xfId="0" applyNumberFormat="1" applyFont="1" applyBorder="1"/>
    <xf numFmtId="2" fontId="38" fillId="0" borderId="5" xfId="0" applyNumberFormat="1" applyFont="1" applyBorder="1" applyAlignment="1">
      <alignment horizontal="left"/>
    </xf>
    <xf numFmtId="2" fontId="38" fillId="0" borderId="13" xfId="0" applyNumberFormat="1" applyFont="1" applyBorder="1" applyAlignment="1">
      <alignment horizontal="left"/>
    </xf>
    <xf numFmtId="1" fontId="38" fillId="0" borderId="6" xfId="0" applyNumberFormat="1" applyFont="1" applyBorder="1" applyAlignment="1">
      <alignment horizontal="left"/>
    </xf>
    <xf numFmtId="2" fontId="38" fillId="0" borderId="7" xfId="0" applyNumberFormat="1" applyFont="1" applyBorder="1"/>
    <xf numFmtId="1" fontId="38" fillId="0" borderId="0" xfId="0" applyNumberFormat="1" applyFont="1" applyBorder="1" applyAlignment="1">
      <alignment horizontal="left"/>
    </xf>
    <xf numFmtId="1" fontId="38" fillId="0" borderId="6" xfId="0" applyNumberFormat="1" applyFont="1" applyBorder="1"/>
    <xf numFmtId="2" fontId="47" fillId="0" borderId="7" xfId="0" applyNumberFormat="1" applyFont="1" applyBorder="1" applyAlignment="1">
      <alignment horizontal="center" vertical="center"/>
    </xf>
    <xf numFmtId="1" fontId="47" fillId="0" borderId="0" xfId="0" applyNumberFormat="1" applyFont="1" applyBorder="1" applyAlignment="1">
      <alignment horizontal="center" vertical="center"/>
    </xf>
    <xf numFmtId="0" fontId="38" fillId="0" borderId="9" xfId="0" applyFont="1" applyBorder="1"/>
    <xf numFmtId="1" fontId="38" fillId="0" borderId="8" xfId="0" applyNumberFormat="1" applyFont="1" applyBorder="1"/>
    <xf numFmtId="2" fontId="38" fillId="0" borderId="9" xfId="0" applyNumberFormat="1" applyFont="1" applyBorder="1" applyAlignment="1">
      <alignment horizontal="center"/>
    </xf>
    <xf numFmtId="1" fontId="38" fillId="0" borderId="16" xfId="0" applyNumberFormat="1" applyFont="1" applyBorder="1" applyAlignment="1">
      <alignment horizontal="center"/>
    </xf>
    <xf numFmtId="0" fontId="38" fillId="0" borderId="0" xfId="0" applyFont="1" applyAlignment="1">
      <alignment horizontal="center"/>
    </xf>
    <xf numFmtId="1" fontId="47" fillId="0" borderId="0" xfId="0" applyNumberFormat="1" applyFont="1"/>
    <xf numFmtId="0" fontId="39" fillId="0" borderId="0" xfId="0" applyFont="1"/>
    <xf numFmtId="0" fontId="47" fillId="0" borderId="0" xfId="0" applyFont="1" applyFill="1"/>
    <xf numFmtId="0" fontId="39" fillId="0" borderId="3" xfId="0" applyFont="1" applyBorder="1" applyAlignment="1">
      <alignment horizontal="center" vertical="center"/>
    </xf>
    <xf numFmtId="0" fontId="39" fillId="0" borderId="15" xfId="0" applyFont="1" applyBorder="1" applyAlignment="1">
      <alignment horizontal="center" vertical="center"/>
    </xf>
    <xf numFmtId="0" fontId="38" fillId="0" borderId="6" xfId="0" applyFont="1" applyBorder="1" applyAlignment="1">
      <alignment horizontal="left"/>
    </xf>
    <xf numFmtId="0" fontId="38" fillId="0" borderId="7" xfId="0" applyFont="1" applyBorder="1" applyAlignment="1">
      <alignment horizontal="left"/>
    </xf>
    <xf numFmtId="2" fontId="38" fillId="0" borderId="11" xfId="0" applyNumberFormat="1" applyFont="1" applyBorder="1" applyAlignment="1">
      <alignment horizontal="center" vertical="center"/>
    </xf>
    <xf numFmtId="2" fontId="38" fillId="0" borderId="10" xfId="0" applyNumberFormat="1" applyFont="1" applyBorder="1" applyAlignment="1">
      <alignment horizontal="center" vertical="center"/>
    </xf>
    <xf numFmtId="2" fontId="38" fillId="0" borderId="7" xfId="0" applyNumberFormat="1" applyFont="1" applyBorder="1" applyAlignment="1">
      <alignment horizontal="center" vertical="center"/>
    </xf>
    <xf numFmtId="0" fontId="42" fillId="0" borderId="8" xfId="0" applyFont="1" applyBorder="1" applyAlignment="1">
      <alignment horizontal="left"/>
    </xf>
    <xf numFmtId="0" fontId="42" fillId="0" borderId="9" xfId="0" applyFont="1" applyBorder="1" applyAlignment="1">
      <alignment horizontal="left"/>
    </xf>
    <xf numFmtId="0" fontId="38" fillId="0" borderId="9" xfId="0" applyFont="1" applyBorder="1" applyAlignment="1">
      <alignment horizontal="center" vertical="center"/>
    </xf>
    <xf numFmtId="0" fontId="47" fillId="0" borderId="8" xfId="0" applyFont="1" applyBorder="1" applyAlignment="1">
      <alignment horizontal="left"/>
    </xf>
    <xf numFmtId="0" fontId="47" fillId="0" borderId="9" xfId="0" applyFont="1" applyBorder="1" applyAlignment="1">
      <alignment horizontal="left"/>
    </xf>
    <xf numFmtId="2" fontId="47" fillId="0" borderId="12" xfId="0" applyNumberFormat="1" applyFont="1" applyBorder="1" applyAlignment="1">
      <alignment horizontal="center" vertical="center"/>
    </xf>
    <xf numFmtId="1" fontId="51" fillId="0" borderId="6" xfId="0" applyNumberFormat="1" applyFont="1" applyFill="1" applyBorder="1"/>
    <xf numFmtId="2" fontId="47" fillId="0" borderId="7" xfId="0" applyNumberFormat="1" applyFont="1" applyFill="1" applyBorder="1" applyAlignment="1">
      <alignment horizontal="center" vertical="center"/>
    </xf>
    <xf numFmtId="1" fontId="52" fillId="0" borderId="0" xfId="0" applyNumberFormat="1" applyFont="1" applyFill="1" applyBorder="1" applyAlignment="1">
      <alignment horizontal="center" vertical="center"/>
    </xf>
    <xf numFmtId="1" fontId="42" fillId="0" borderId="0" xfId="0" applyNumberFormat="1" applyFont="1"/>
    <xf numFmtId="0" fontId="42" fillId="0" borderId="0" xfId="0" applyFont="1" applyFill="1"/>
    <xf numFmtId="11" fontId="38" fillId="0" borderId="0" xfId="0" applyNumberFormat="1" applyFont="1" applyFill="1"/>
    <xf numFmtId="2" fontId="42" fillId="0" borderId="0" xfId="0" applyNumberFormat="1" applyFont="1" applyFill="1" applyAlignment="1">
      <alignment horizontal="right"/>
    </xf>
    <xf numFmtId="2" fontId="42" fillId="0" borderId="0" xfId="0" applyNumberFormat="1" applyFont="1" applyAlignment="1">
      <alignment horizontal="right"/>
    </xf>
    <xf numFmtId="2" fontId="42" fillId="0" borderId="0" xfId="0" applyNumberFormat="1" applyFont="1"/>
    <xf numFmtId="2" fontId="38" fillId="0" borderId="0" xfId="0" applyNumberFormat="1" applyFont="1"/>
    <xf numFmtId="2" fontId="38" fillId="0" borderId="0" xfId="0" applyNumberFormat="1" applyFont="1" applyFill="1"/>
    <xf numFmtId="0" fontId="38" fillId="0" borderId="0" xfId="0" applyFont="1" applyAlignment="1"/>
    <xf numFmtId="2" fontId="39" fillId="0" borderId="3" xfId="0" applyNumberFormat="1" applyFont="1" applyBorder="1" applyAlignment="1">
      <alignment horizontal="center" vertical="center"/>
    </xf>
    <xf numFmtId="2" fontId="39" fillId="0" borderId="15" xfId="0" applyNumberFormat="1" applyFont="1" applyBorder="1" applyAlignment="1">
      <alignment horizontal="center" vertical="center"/>
    </xf>
    <xf numFmtId="0" fontId="38" fillId="0" borderId="8" xfId="0" applyFont="1" applyBorder="1" applyAlignment="1">
      <alignment horizontal="left"/>
    </xf>
    <xf numFmtId="0" fontId="38" fillId="0" borderId="16" xfId="0" applyFont="1" applyBorder="1" applyAlignment="1">
      <alignment horizontal="left"/>
    </xf>
    <xf numFmtId="0" fontId="42" fillId="0" borderId="6" xfId="0" applyFont="1" applyBorder="1" applyAlignment="1">
      <alignment horizontal="left"/>
    </xf>
    <xf numFmtId="0" fontId="38" fillId="0" borderId="0" xfId="0" applyFont="1" applyBorder="1" applyAlignment="1">
      <alignment horizontal="left"/>
    </xf>
    <xf numFmtId="0" fontId="42" fillId="0" borderId="0" xfId="0" applyFont="1" applyAlignment="1">
      <alignment horizontal="right"/>
    </xf>
    <xf numFmtId="0" fontId="42" fillId="0" borderId="16" xfId="0" applyFont="1" applyBorder="1" applyAlignment="1">
      <alignment horizontal="left"/>
    </xf>
    <xf numFmtId="0" fontId="47" fillId="0" borderId="0" xfId="0" applyFont="1" applyAlignment="1">
      <alignment horizontal="right"/>
    </xf>
    <xf numFmtId="0" fontId="47" fillId="0" borderId="16" xfId="0" applyFont="1" applyBorder="1" applyAlignment="1">
      <alignment horizontal="left"/>
    </xf>
    <xf numFmtId="13" fontId="38" fillId="0" borderId="0" xfId="0" applyNumberFormat="1" applyFont="1"/>
    <xf numFmtId="0" fontId="38" fillId="0" borderId="0" xfId="0" applyFont="1" applyBorder="1" applyAlignment="1">
      <alignment horizontal="right"/>
    </xf>
    <xf numFmtId="0" fontId="38" fillId="0" borderId="0" xfId="0" applyFont="1" applyBorder="1"/>
    <xf numFmtId="0" fontId="47" fillId="0" borderId="9" xfId="0" applyFont="1" applyBorder="1" applyAlignment="1">
      <alignment horizontal="center" vertical="center"/>
    </xf>
    <xf numFmtId="0" fontId="54" fillId="0" borderId="0" xfId="0" applyFont="1" applyBorder="1"/>
    <xf numFmtId="0" fontId="55" fillId="0" borderId="0" xfId="0" applyFont="1" applyBorder="1" applyAlignment="1">
      <alignment horizontal="right"/>
    </xf>
    <xf numFmtId="2" fontId="38" fillId="0" borderId="0" xfId="0" applyNumberFormat="1" applyFont="1" applyBorder="1"/>
    <xf numFmtId="0" fontId="38" fillId="0" borderId="0" xfId="0" applyFont="1" applyBorder="1" applyAlignment="1">
      <alignment horizontal="left" wrapText="1"/>
    </xf>
    <xf numFmtId="0" fontId="38" fillId="0" borderId="0" xfId="0" applyFont="1" applyFill="1" applyBorder="1"/>
    <xf numFmtId="2" fontId="47" fillId="0" borderId="3" xfId="0" applyNumberFormat="1" applyFont="1" applyBorder="1" applyAlignment="1">
      <alignment horizontal="center" vertical="center"/>
    </xf>
    <xf numFmtId="2" fontId="38" fillId="0" borderId="12" xfId="0" applyNumberFormat="1" applyFont="1" applyFill="1" applyBorder="1" applyAlignment="1">
      <alignment horizontal="center" vertical="center"/>
    </xf>
    <xf numFmtId="2" fontId="38" fillId="0" borderId="9" xfId="0" applyNumberFormat="1" applyFont="1" applyFill="1" applyBorder="1" applyAlignment="1">
      <alignment horizontal="center" vertical="center"/>
    </xf>
    <xf numFmtId="0" fontId="57" fillId="0" borderId="0" xfId="0" applyFont="1"/>
    <xf numFmtId="0" fontId="38" fillId="0" borderId="6" xfId="0" applyFont="1" applyBorder="1"/>
    <xf numFmtId="0" fontId="38" fillId="0" borderId="7" xfId="0" applyFont="1" applyBorder="1"/>
    <xf numFmtId="2" fontId="47" fillId="0" borderId="11" xfId="0" applyNumberFormat="1" applyFont="1" applyBorder="1" applyAlignment="1">
      <alignment horizontal="center" vertical="center"/>
    </xf>
    <xf numFmtId="2" fontId="47" fillId="0" borderId="0" xfId="0" applyNumberFormat="1" applyFont="1" applyBorder="1"/>
    <xf numFmtId="0" fontId="38" fillId="8" borderId="0" xfId="0" applyFont="1" applyFill="1"/>
    <xf numFmtId="1" fontId="47" fillId="0" borderId="15" xfId="0" applyNumberFormat="1" applyFont="1" applyBorder="1" applyAlignment="1">
      <alignment horizontal="center" vertical="center"/>
    </xf>
    <xf numFmtId="0" fontId="38" fillId="0" borderId="12" xfId="0" applyFont="1" applyBorder="1"/>
    <xf numFmtId="0" fontId="43" fillId="0" borderId="9" xfId="0" applyFont="1" applyBorder="1" applyAlignment="1">
      <alignment horizontal="center" vertical="center"/>
    </xf>
    <xf numFmtId="1" fontId="38" fillId="0" borderId="9" xfId="0" applyNumberFormat="1" applyFont="1" applyBorder="1" applyAlignment="1">
      <alignment horizontal="center" vertical="center"/>
    </xf>
    <xf numFmtId="1" fontId="43" fillId="0" borderId="9" xfId="0" applyNumberFormat="1" applyFont="1" applyBorder="1" applyAlignment="1">
      <alignment horizontal="center" vertical="center"/>
    </xf>
    <xf numFmtId="1" fontId="38" fillId="0" borderId="0" xfId="0" applyNumberFormat="1" applyFont="1" applyBorder="1"/>
    <xf numFmtId="0" fontId="47" fillId="0" borderId="0" xfId="0" applyFont="1" applyBorder="1"/>
    <xf numFmtId="1" fontId="58" fillId="0" borderId="0" xfId="0" applyNumberFormat="1" applyFont="1" applyBorder="1"/>
    <xf numFmtId="167" fontId="38" fillId="0" borderId="0" xfId="0" applyNumberFormat="1" applyFont="1" applyBorder="1"/>
    <xf numFmtId="0" fontId="38" fillId="0" borderId="14" xfId="0" applyFont="1" applyBorder="1" applyAlignment="1">
      <alignment horizontal="center" vertical="center"/>
    </xf>
    <xf numFmtId="0" fontId="38" fillId="0" borderId="15" xfId="0" applyFont="1" applyBorder="1" applyAlignment="1">
      <alignment horizontal="center" vertical="center"/>
    </xf>
    <xf numFmtId="1" fontId="38" fillId="0" borderId="15" xfId="0" applyNumberFormat="1" applyFont="1" applyBorder="1" applyAlignment="1">
      <alignment horizontal="center" vertical="center"/>
    </xf>
    <xf numFmtId="1" fontId="38" fillId="0" borderId="3" xfId="0" applyNumberFormat="1" applyFont="1" applyBorder="1" applyAlignment="1">
      <alignment horizontal="center" vertical="center"/>
    </xf>
    <xf numFmtId="0" fontId="38" fillId="0" borderId="3" xfId="0" applyFont="1" applyBorder="1"/>
    <xf numFmtId="0" fontId="38" fillId="0" borderId="9" xfId="0" applyFont="1" applyBorder="1" applyAlignment="1">
      <alignment horizontal="center"/>
    </xf>
    <xf numFmtId="1" fontId="38" fillId="0" borderId="9" xfId="0" applyNumberFormat="1" applyFont="1" applyBorder="1" applyAlignment="1">
      <alignment horizontal="center"/>
    </xf>
    <xf numFmtId="1" fontId="38" fillId="0" borderId="0" xfId="0" applyNumberFormat="1" applyFont="1" applyBorder="1" applyAlignment="1">
      <alignment horizontal="center"/>
    </xf>
    <xf numFmtId="0" fontId="15" fillId="0" borderId="0" xfId="0" applyFont="1"/>
    <xf numFmtId="0" fontId="43" fillId="0" borderId="0" xfId="0" applyFont="1" applyAlignment="1">
      <alignment horizontal="center"/>
    </xf>
    <xf numFmtId="0" fontId="38" fillId="0" borderId="0" xfId="0" applyFont="1" applyAlignment="1">
      <alignment horizontal="left"/>
    </xf>
    <xf numFmtId="0" fontId="38" fillId="5" borderId="0" xfId="0" applyFont="1" applyFill="1"/>
    <xf numFmtId="0" fontId="47" fillId="0" borderId="2" xfId="0" applyFont="1" applyBorder="1" applyAlignment="1">
      <alignment horizontal="center"/>
    </xf>
    <xf numFmtId="0" fontId="47" fillId="0" borderId="1" xfId="0" applyFont="1" applyBorder="1" applyAlignment="1">
      <alignment horizontal="center"/>
    </xf>
    <xf numFmtId="0" fontId="57" fillId="2" borderId="3" xfId="0" applyFont="1" applyFill="1" applyBorder="1" applyProtection="1">
      <protection locked="0"/>
    </xf>
    <xf numFmtId="1" fontId="57" fillId="2" borderId="3" xfId="0" applyNumberFormat="1" applyFont="1" applyFill="1" applyBorder="1" applyProtection="1">
      <protection locked="0"/>
    </xf>
    <xf numFmtId="0" fontId="38" fillId="0" borderId="0" xfId="0" applyNumberFormat="1" applyFont="1"/>
    <xf numFmtId="1" fontId="38" fillId="0" borderId="0" xfId="0" applyNumberFormat="1" applyFont="1"/>
    <xf numFmtId="167" fontId="57" fillId="2" borderId="3" xfId="0" applyNumberFormat="1" applyFont="1" applyFill="1" applyBorder="1" applyProtection="1">
      <protection locked="0"/>
    </xf>
    <xf numFmtId="0" fontId="38" fillId="2" borderId="3" xfId="0" applyFont="1" applyFill="1" applyBorder="1" applyProtection="1">
      <protection locked="0"/>
    </xf>
    <xf numFmtId="11" fontId="38" fillId="0" borderId="0" xfId="0" applyNumberFormat="1" applyFont="1"/>
    <xf numFmtId="164" fontId="38" fillId="0" borderId="0" xfId="0" applyNumberFormat="1" applyFont="1"/>
    <xf numFmtId="49" fontId="38" fillId="0" borderId="0" xfId="0" applyNumberFormat="1" applyFont="1" applyAlignment="1">
      <alignment horizontal="center"/>
    </xf>
    <xf numFmtId="165" fontId="38" fillId="0" borderId="0" xfId="0" applyNumberFormat="1" applyFont="1"/>
    <xf numFmtId="49" fontId="38" fillId="0" borderId="0" xfId="0" applyNumberFormat="1" applyFont="1" applyAlignment="1">
      <alignment horizontal="right"/>
    </xf>
    <xf numFmtId="0" fontId="54" fillId="0" borderId="0" xfId="0" applyFont="1"/>
    <xf numFmtId="0" fontId="43" fillId="0" borderId="0" xfId="0" applyFont="1" applyAlignment="1">
      <alignment horizontal="right"/>
    </xf>
    <xf numFmtId="2" fontId="43" fillId="0" borderId="0" xfId="0" applyNumberFormat="1" applyFont="1" applyAlignment="1">
      <alignment horizontal="right"/>
    </xf>
    <xf numFmtId="2" fontId="38" fillId="0" borderId="0" xfId="0" applyNumberFormat="1" applyFont="1" applyAlignment="1">
      <alignment horizontal="right"/>
    </xf>
    <xf numFmtId="0" fontId="39" fillId="0" borderId="0" xfId="5" applyFont="1" applyAlignment="1"/>
    <xf numFmtId="166" fontId="38" fillId="0" borderId="0" xfId="0" applyNumberFormat="1" applyFont="1"/>
    <xf numFmtId="11" fontId="43" fillId="0" borderId="0" xfId="5" applyNumberFormat="1" applyFont="1" applyFill="1"/>
    <xf numFmtId="0" fontId="43" fillId="0" borderId="0" xfId="5" applyFont="1" applyFill="1"/>
    <xf numFmtId="0" fontId="43" fillId="2" borderId="3" xfId="0" applyFont="1" applyFill="1" applyBorder="1" applyProtection="1">
      <protection locked="0"/>
    </xf>
    <xf numFmtId="49" fontId="38" fillId="0" borderId="0" xfId="0" applyNumberFormat="1" applyFont="1" applyAlignment="1">
      <alignment horizontal="left"/>
    </xf>
    <xf numFmtId="0" fontId="38" fillId="0" borderId="10" xfId="0" applyFont="1" applyBorder="1"/>
    <xf numFmtId="2" fontId="38" fillId="0" borderId="15" xfId="0" applyNumberFormat="1" applyFont="1" applyBorder="1"/>
    <xf numFmtId="2" fontId="38" fillId="0" borderId="9" xfId="0" applyNumberFormat="1" applyFont="1" applyBorder="1"/>
    <xf numFmtId="0" fontId="54" fillId="0" borderId="0" xfId="0" applyFont="1" applyAlignment="1">
      <alignment horizontal="left"/>
    </xf>
    <xf numFmtId="0" fontId="38" fillId="0" borderId="4" xfId="0" applyFont="1" applyBorder="1" applyAlignment="1">
      <alignment horizontal="center"/>
    </xf>
    <xf numFmtId="0" fontId="38" fillId="0" borderId="10" xfId="0" applyFont="1" applyBorder="1" applyAlignment="1">
      <alignment horizontal="center"/>
    </xf>
    <xf numFmtId="0" fontId="38" fillId="0" borderId="5" xfId="0" applyFont="1" applyBorder="1" applyAlignment="1">
      <alignment horizontal="center"/>
    </xf>
    <xf numFmtId="0" fontId="38" fillId="0" borderId="12" xfId="0" applyFont="1" applyBorder="1" applyAlignment="1">
      <alignment horizontal="center"/>
    </xf>
    <xf numFmtId="167" fontId="43" fillId="0" borderId="0" xfId="0" applyNumberFormat="1" applyFont="1"/>
    <xf numFmtId="0" fontId="57" fillId="0" borderId="10" xfId="0" applyFont="1" applyBorder="1"/>
    <xf numFmtId="2" fontId="57" fillId="0" borderId="10" xfId="0" applyNumberFormat="1" applyFont="1" applyBorder="1"/>
    <xf numFmtId="0" fontId="57" fillId="0" borderId="5" xfId="0" applyFont="1" applyBorder="1"/>
    <xf numFmtId="165" fontId="57" fillId="0" borderId="5" xfId="0" applyNumberFormat="1" applyFont="1" applyBorder="1"/>
    <xf numFmtId="0" fontId="38" fillId="0" borderId="11" xfId="0" applyFont="1" applyBorder="1" applyAlignment="1"/>
    <xf numFmtId="0" fontId="38" fillId="0" borderId="11" xfId="0" applyFont="1" applyBorder="1"/>
    <xf numFmtId="0" fontId="38" fillId="0" borderId="11" xfId="0" applyFont="1" applyBorder="1" applyAlignment="1">
      <alignment horizontal="right"/>
    </xf>
    <xf numFmtId="2" fontId="38" fillId="0" borderId="11" xfId="0" applyNumberFormat="1" applyFont="1" applyBorder="1"/>
    <xf numFmtId="2" fontId="39" fillId="0" borderId="11" xfId="0" applyNumberFormat="1" applyFont="1" applyBorder="1"/>
    <xf numFmtId="165" fontId="38" fillId="0" borderId="7" xfId="0" applyNumberFormat="1" applyFont="1" applyFill="1" applyBorder="1"/>
    <xf numFmtId="2" fontId="38" fillId="0" borderId="3" xfId="0" applyNumberFormat="1" applyFont="1" applyBorder="1"/>
    <xf numFmtId="165" fontId="38" fillId="0" borderId="3" xfId="0" applyNumberFormat="1" applyFont="1" applyBorder="1"/>
    <xf numFmtId="2" fontId="38" fillId="3" borderId="0" xfId="0" applyNumberFormat="1" applyFont="1" applyFill="1"/>
    <xf numFmtId="0" fontId="57" fillId="0" borderId="0" xfId="0" applyFont="1" applyAlignment="1">
      <alignment horizontal="center"/>
    </xf>
    <xf numFmtId="2" fontId="57" fillId="0" borderId="11" xfId="0" applyNumberFormat="1" applyFont="1" applyBorder="1"/>
    <xf numFmtId="0" fontId="57" fillId="0" borderId="7" xfId="0" applyFont="1" applyBorder="1"/>
    <xf numFmtId="165" fontId="57" fillId="0" borderId="10" xfId="0" applyNumberFormat="1" applyFont="1" applyBorder="1"/>
    <xf numFmtId="165" fontId="57" fillId="0" borderId="11" xfId="0" applyNumberFormat="1" applyFont="1" applyBorder="1"/>
    <xf numFmtId="0" fontId="38" fillId="0" borderId="11" xfId="0" applyFont="1" applyBorder="1" applyAlignment="1">
      <alignment horizontal="center" wrapText="1"/>
    </xf>
    <xf numFmtId="0" fontId="57" fillId="0" borderId="11" xfId="0" applyFont="1" applyBorder="1"/>
    <xf numFmtId="165" fontId="38" fillId="0" borderId="10" xfId="0" applyNumberFormat="1" applyFont="1" applyBorder="1"/>
    <xf numFmtId="1" fontId="38" fillId="0" borderId="11" xfId="0" applyNumberFormat="1" applyFont="1" applyBorder="1"/>
    <xf numFmtId="167" fontId="39" fillId="0" borderId="11" xfId="0" applyNumberFormat="1" applyFont="1" applyBorder="1"/>
    <xf numFmtId="165" fontId="38" fillId="0" borderId="11" xfId="0" applyNumberFormat="1" applyFont="1" applyBorder="1"/>
    <xf numFmtId="165" fontId="38" fillId="0" borderId="15" xfId="0" applyNumberFormat="1" applyFont="1" applyBorder="1"/>
    <xf numFmtId="168" fontId="38" fillId="0" borderId="0" xfId="0" applyNumberFormat="1" applyFont="1"/>
    <xf numFmtId="166" fontId="38" fillId="0" borderId="15" xfId="0" applyNumberFormat="1" applyFont="1" applyBorder="1"/>
    <xf numFmtId="166" fontId="38" fillId="0" borderId="0" xfId="0" applyNumberFormat="1" applyFont="1" applyFill="1"/>
    <xf numFmtId="166" fontId="38" fillId="0" borderId="9" xfId="0" applyNumberFormat="1" applyFont="1" applyBorder="1"/>
    <xf numFmtId="0" fontId="47" fillId="0" borderId="0" xfId="8" applyFont="1"/>
    <xf numFmtId="0" fontId="38" fillId="0" borderId="0" xfId="8" applyFont="1" applyFill="1"/>
    <xf numFmtId="2" fontId="38" fillId="0" borderId="0" xfId="8" applyNumberFormat="1" applyFont="1"/>
    <xf numFmtId="0" fontId="43" fillId="0" borderId="0" xfId="8" applyFont="1"/>
    <xf numFmtId="0" fontId="63" fillId="0" borderId="0" xfId="0" applyFont="1"/>
    <xf numFmtId="0" fontId="38" fillId="0" borderId="0" xfId="0" applyFont="1" applyBorder="1" applyAlignment="1">
      <alignment horizontal="center"/>
    </xf>
    <xf numFmtId="0" fontId="63" fillId="0" borderId="9" xfId="0" applyFont="1" applyBorder="1"/>
    <xf numFmtId="2" fontId="38" fillId="0" borderId="8" xfId="0" applyNumberFormat="1" applyFont="1" applyBorder="1"/>
    <xf numFmtId="0" fontId="57" fillId="5" borderId="0" xfId="0" applyFont="1" applyFill="1"/>
    <xf numFmtId="2" fontId="38" fillId="0" borderId="17" xfId="0" applyNumberFormat="1" applyFont="1" applyBorder="1"/>
    <xf numFmtId="0" fontId="47" fillId="0" borderId="3" xfId="0" applyFont="1" applyBorder="1" applyAlignment="1">
      <alignment horizontal="right"/>
    </xf>
    <xf numFmtId="2" fontId="47" fillId="0" borderId="17" xfId="0" applyNumberFormat="1" applyFont="1" applyBorder="1"/>
    <xf numFmtId="0" fontId="38" fillId="0" borderId="18" xfId="0" applyFont="1" applyBorder="1"/>
    <xf numFmtId="0" fontId="38" fillId="0" borderId="19" xfId="0" applyFont="1" applyBorder="1"/>
    <xf numFmtId="0" fontId="63" fillId="0" borderId="20" xfId="0" applyFont="1" applyBorder="1"/>
    <xf numFmtId="0" fontId="38" fillId="0" borderId="21" xfId="0" applyFont="1" applyBorder="1"/>
    <xf numFmtId="0" fontId="57" fillId="0" borderId="0" xfId="0" applyFont="1" applyBorder="1"/>
    <xf numFmtId="11" fontId="38" fillId="3" borderId="0" xfId="0" applyNumberFormat="1" applyFont="1" applyFill="1"/>
    <xf numFmtId="0" fontId="54" fillId="0" borderId="0" xfId="11" applyFont="1"/>
    <xf numFmtId="0" fontId="38" fillId="0" borderId="0" xfId="11" applyFont="1" applyAlignment="1">
      <alignment horizontal="right"/>
    </xf>
    <xf numFmtId="2" fontId="38" fillId="0" borderId="0" xfId="11" applyNumberFormat="1" applyFont="1"/>
    <xf numFmtId="0" fontId="47" fillId="0" borderId="0" xfId="11" applyFont="1" applyAlignment="1" applyProtection="1">
      <alignment horizontal="left"/>
    </xf>
    <xf numFmtId="0" fontId="54" fillId="0" borderId="0" xfId="11" applyFont="1" applyAlignment="1" applyProtection="1">
      <alignment horizontal="left"/>
    </xf>
    <xf numFmtId="0" fontId="38" fillId="0" borderId="0" xfId="11" applyFont="1" applyAlignment="1" applyProtection="1">
      <alignment horizontal="left"/>
    </xf>
    <xf numFmtId="169" fontId="47" fillId="5" borderId="0" xfId="11" applyNumberFormat="1" applyFont="1" applyFill="1" applyProtection="1"/>
    <xf numFmtId="170" fontId="38" fillId="0" borderId="0" xfId="11" applyNumberFormat="1" applyFont="1" applyProtection="1"/>
    <xf numFmtId="171" fontId="38" fillId="0" borderId="0" xfId="11" applyNumberFormat="1" applyFont="1" applyProtection="1"/>
    <xf numFmtId="11" fontId="38" fillId="0" borderId="0" xfId="11" applyNumberFormat="1" applyFont="1"/>
    <xf numFmtId="0" fontId="38" fillId="0" borderId="0" xfId="11" applyFont="1" applyAlignment="1" applyProtection="1">
      <alignment horizontal="right"/>
    </xf>
    <xf numFmtId="0" fontId="49" fillId="0" borderId="0" xfId="11" applyFont="1" applyAlignment="1" applyProtection="1">
      <alignment horizontal="left"/>
    </xf>
    <xf numFmtId="172" fontId="47" fillId="0" borderId="0" xfId="11" applyNumberFormat="1" applyFont="1" applyProtection="1"/>
    <xf numFmtId="172" fontId="38" fillId="0" borderId="0" xfId="11" quotePrefix="1" applyNumberFormat="1" applyFont="1" applyAlignment="1" applyProtection="1">
      <alignment horizontal="left"/>
    </xf>
    <xf numFmtId="0" fontId="47" fillId="0" borderId="0" xfId="11" applyFont="1" applyAlignment="1">
      <alignment horizontal="center"/>
    </xf>
    <xf numFmtId="172" fontId="47" fillId="0" borderId="0" xfId="11" applyNumberFormat="1" applyFont="1" applyAlignment="1">
      <alignment horizontal="right"/>
    </xf>
    <xf numFmtId="172" fontId="38" fillId="0" borderId="0" xfId="11" applyNumberFormat="1" applyFont="1"/>
    <xf numFmtId="172" fontId="47" fillId="0" borderId="0" xfId="11" applyNumberFormat="1" applyFont="1" applyAlignment="1" applyProtection="1">
      <alignment horizontal="left"/>
    </xf>
    <xf numFmtId="0" fontId="47" fillId="0" borderId="0" xfId="11" applyFont="1"/>
    <xf numFmtId="0" fontId="47" fillId="0" borderId="0" xfId="11" quotePrefix="1" applyFont="1" applyFill="1" applyAlignment="1">
      <alignment horizontal="center"/>
    </xf>
    <xf numFmtId="0" fontId="47" fillId="0" borderId="0" xfId="11" applyFont="1" applyAlignment="1">
      <alignment horizontal="left"/>
    </xf>
    <xf numFmtId="0" fontId="62" fillId="0" borderId="0" xfId="11" applyFont="1"/>
    <xf numFmtId="0" fontId="64" fillId="0" borderId="0" xfId="11" applyFont="1"/>
    <xf numFmtId="167" fontId="47" fillId="0" borderId="0" xfId="11" applyNumberFormat="1" applyFont="1" applyAlignment="1" applyProtection="1">
      <alignment horizontal="center"/>
      <protection locked="0"/>
    </xf>
    <xf numFmtId="0" fontId="38" fillId="0" borderId="0" xfId="11" applyFont="1" applyProtection="1">
      <protection locked="0"/>
    </xf>
    <xf numFmtId="167" fontId="47" fillId="0" borderId="0" xfId="11" applyNumberFormat="1" applyFont="1" applyAlignment="1" applyProtection="1">
      <alignment horizontal="center"/>
    </xf>
    <xf numFmtId="167" fontId="38" fillId="0" borderId="0" xfId="11" applyNumberFormat="1" applyFont="1" applyAlignment="1" applyProtection="1">
      <alignment horizontal="center"/>
    </xf>
    <xf numFmtId="0" fontId="62" fillId="0" borderId="0" xfId="11" applyFont="1" applyAlignment="1" applyProtection="1">
      <alignment horizontal="center"/>
      <protection locked="0"/>
    </xf>
    <xf numFmtId="0" fontId="65" fillId="0" borderId="0" xfId="11" applyFont="1" applyProtection="1">
      <protection locked="0"/>
    </xf>
    <xf numFmtId="2" fontId="42" fillId="0" borderId="0" xfId="5" applyNumberFormat="1" applyFont="1"/>
    <xf numFmtId="166" fontId="42" fillId="0" borderId="0" xfId="5" applyNumberFormat="1" applyFont="1"/>
    <xf numFmtId="0" fontId="42" fillId="8" borderId="0" xfId="5" applyFont="1" applyFill="1"/>
    <xf numFmtId="2" fontId="47" fillId="0" borderId="0" xfId="8" applyNumberFormat="1" applyFont="1"/>
    <xf numFmtId="2" fontId="43" fillId="0" borderId="0" xfId="8" applyNumberFormat="1" applyFont="1"/>
    <xf numFmtId="2" fontId="47" fillId="0" borderId="0" xfId="8" applyNumberFormat="1" applyFont="1" applyFill="1"/>
    <xf numFmtId="2" fontId="39" fillId="0" borderId="0" xfId="0" applyNumberFormat="1" applyFont="1"/>
    <xf numFmtId="2" fontId="43" fillId="0" borderId="0" xfId="0" applyNumberFormat="1" applyFont="1"/>
    <xf numFmtId="1" fontId="39" fillId="0" borderId="0" xfId="0" applyNumberFormat="1" applyFont="1"/>
    <xf numFmtId="0" fontId="47" fillId="0" borderId="0" xfId="8" applyFont="1" applyFill="1"/>
    <xf numFmtId="2" fontId="38" fillId="0" borderId="5" xfId="0" applyNumberFormat="1" applyFont="1" applyBorder="1" applyAlignment="1">
      <alignment horizontal="center" vertical="center"/>
    </xf>
    <xf numFmtId="0" fontId="38" fillId="0" borderId="0" xfId="5" applyFont="1" applyFill="1"/>
    <xf numFmtId="2" fontId="38" fillId="0" borderId="0" xfId="0" applyNumberFormat="1" applyFont="1" applyBorder="1" applyAlignment="1">
      <alignment horizontal="center"/>
    </xf>
    <xf numFmtId="2" fontId="58" fillId="0" borderId="0" xfId="0" applyNumberFormat="1" applyFont="1" applyAlignment="1">
      <alignment horizontal="center" vertical="center"/>
    </xf>
    <xf numFmtId="2" fontId="38" fillId="0" borderId="6" xfId="0" applyNumberFormat="1" applyFont="1" applyBorder="1" applyAlignment="1">
      <alignment horizontal="center" vertical="center"/>
    </xf>
    <xf numFmtId="2" fontId="58" fillId="7" borderId="0" xfId="0" applyNumberFormat="1" applyFont="1" applyFill="1" applyBorder="1" applyAlignment="1">
      <alignment horizontal="center" vertical="center"/>
    </xf>
    <xf numFmtId="2" fontId="38" fillId="0" borderId="0" xfId="0" applyNumberFormat="1" applyFont="1" applyBorder="1" applyAlignment="1">
      <alignment horizontal="center" vertical="center"/>
    </xf>
    <xf numFmtId="2" fontId="42" fillId="0" borderId="14" xfId="1" applyNumberFormat="1" applyFont="1" applyBorder="1" applyAlignment="1">
      <alignment horizontal="center" vertical="center"/>
    </xf>
    <xf numFmtId="2" fontId="42" fillId="0" borderId="3" xfId="1" applyNumberFormat="1" applyFont="1" applyBorder="1" applyAlignment="1">
      <alignment horizontal="center" vertical="center"/>
    </xf>
    <xf numFmtId="2" fontId="42" fillId="0" borderId="15" xfId="1" applyNumberFormat="1" applyFont="1" applyBorder="1" applyAlignment="1">
      <alignment horizontal="center" vertical="center"/>
    </xf>
    <xf numFmtId="2" fontId="39" fillId="0" borderId="14" xfId="1" applyNumberFormat="1" applyFont="1" applyBorder="1" applyAlignment="1">
      <alignment horizontal="center" vertical="center"/>
    </xf>
    <xf numFmtId="2" fontId="39" fillId="0" borderId="3" xfId="1" applyNumberFormat="1" applyFont="1" applyBorder="1" applyAlignment="1">
      <alignment horizontal="center" vertical="center"/>
    </xf>
    <xf numFmtId="2" fontId="39" fillId="0" borderId="15" xfId="1" applyNumberFormat="1" applyFont="1" applyBorder="1" applyAlignment="1">
      <alignment horizontal="center" vertical="center"/>
    </xf>
    <xf numFmtId="2" fontId="58" fillId="7" borderId="0" xfId="0" applyNumberFormat="1" applyFont="1" applyFill="1" applyAlignment="1">
      <alignment horizontal="center" vertical="center"/>
    </xf>
    <xf numFmtId="2" fontId="39" fillId="0" borderId="6" xfId="10" applyNumberFormat="1" applyFont="1" applyBorder="1" applyAlignment="1">
      <alignment horizontal="center" vertical="center"/>
    </xf>
    <xf numFmtId="2" fontId="39" fillId="0" borderId="6" xfId="1" applyNumberFormat="1" applyFont="1" applyBorder="1" applyAlignment="1">
      <alignment horizontal="center" vertical="center"/>
    </xf>
    <xf numFmtId="2" fontId="39" fillId="0" borderId="11" xfId="1" applyNumberFormat="1" applyFont="1" applyBorder="1" applyAlignment="1">
      <alignment horizontal="center" vertical="center"/>
    </xf>
    <xf numFmtId="2" fontId="39" fillId="0" borderId="7" xfId="1" applyNumberFormat="1" applyFont="1" applyBorder="1" applyAlignment="1">
      <alignment horizontal="center" vertical="center"/>
    </xf>
    <xf numFmtId="2" fontId="46" fillId="7" borderId="0" xfId="1" applyNumberFormat="1" applyFont="1" applyFill="1" applyBorder="1" applyAlignment="1">
      <alignment horizontal="center" vertical="center"/>
    </xf>
    <xf numFmtId="2" fontId="39" fillId="3" borderId="0" xfId="1" applyNumberFormat="1" applyFont="1" applyFill="1" applyBorder="1" applyAlignment="1">
      <alignment horizontal="center" vertical="center"/>
    </xf>
    <xf numFmtId="2" fontId="38" fillId="3" borderId="0" xfId="0" applyNumberFormat="1" applyFont="1" applyFill="1" applyBorder="1" applyAlignment="1">
      <alignment horizontal="center" vertical="center"/>
    </xf>
    <xf numFmtId="2" fontId="42" fillId="0" borderId="14" xfId="0" applyNumberFormat="1" applyFont="1" applyBorder="1" applyAlignment="1">
      <alignment horizontal="center" vertical="center"/>
    </xf>
    <xf numFmtId="2" fontId="42" fillId="0" borderId="3" xfId="0" applyNumberFormat="1" applyFont="1" applyBorder="1" applyAlignment="1">
      <alignment horizontal="center" vertical="center"/>
    </xf>
    <xf numFmtId="2" fontId="42" fillId="0" borderId="15" xfId="0" applyNumberFormat="1" applyFont="1" applyBorder="1" applyAlignment="1">
      <alignment horizontal="center" vertical="center"/>
    </xf>
    <xf numFmtId="2" fontId="42" fillId="0" borderId="0" xfId="0" applyNumberFormat="1" applyFont="1" applyFill="1" applyAlignment="1">
      <alignment horizontal="center" vertical="center"/>
    </xf>
    <xf numFmtId="2" fontId="43" fillId="0" borderId="0" xfId="0" applyNumberFormat="1" applyFont="1" applyAlignment="1">
      <alignment horizontal="center" vertical="center"/>
    </xf>
    <xf numFmtId="2" fontId="43" fillId="3" borderId="0" xfId="0" applyNumberFormat="1" applyFont="1" applyFill="1" applyBorder="1" applyAlignment="1">
      <alignment horizontal="center" vertical="center"/>
    </xf>
    <xf numFmtId="2" fontId="48" fillId="0" borderId="0" xfId="12" applyNumberFormat="1" applyFont="1" applyAlignment="1">
      <alignment horizontal="center" vertical="center"/>
    </xf>
    <xf numFmtId="2" fontId="58" fillId="3" borderId="4" xfId="0" applyNumberFormat="1" applyFont="1" applyFill="1" applyBorder="1" applyAlignment="1">
      <alignment horizontal="center" vertical="center"/>
    </xf>
    <xf numFmtId="2" fontId="58" fillId="3" borderId="10" xfId="0" applyNumberFormat="1" applyFont="1" applyFill="1" applyBorder="1" applyAlignment="1">
      <alignment horizontal="center" vertical="center"/>
    </xf>
    <xf numFmtId="2" fontId="58" fillId="8" borderId="5" xfId="0" applyNumberFormat="1" applyFont="1" applyFill="1" applyBorder="1" applyAlignment="1">
      <alignment horizontal="center" vertical="center"/>
    </xf>
    <xf numFmtId="2" fontId="58" fillId="8" borderId="0" xfId="0" applyNumberFormat="1" applyFont="1" applyFill="1" applyAlignment="1">
      <alignment horizontal="center" vertical="center"/>
    </xf>
    <xf numFmtId="2" fontId="43" fillId="0" borderId="0" xfId="12" applyNumberFormat="1" applyFont="1" applyAlignment="1">
      <alignment horizontal="center" vertical="center"/>
    </xf>
    <xf numFmtId="2" fontId="39" fillId="0" borderId="10" xfId="1" applyNumberFormat="1" applyFont="1" applyBorder="1" applyAlignment="1">
      <alignment horizontal="center" vertical="center"/>
    </xf>
    <xf numFmtId="2" fontId="58" fillId="3" borderId="6" xfId="0" applyNumberFormat="1" applyFont="1" applyFill="1" applyBorder="1" applyAlignment="1">
      <alignment horizontal="center" vertical="center"/>
    </xf>
    <xf numFmtId="2" fontId="58" fillId="3" borderId="11" xfId="0" applyNumberFormat="1" applyFont="1" applyFill="1" applyBorder="1" applyAlignment="1">
      <alignment horizontal="center" vertical="center"/>
    </xf>
    <xf numFmtId="2" fontId="58" fillId="8" borderId="7" xfId="0" applyNumberFormat="1" applyFont="1" applyFill="1" applyBorder="1" applyAlignment="1">
      <alignment horizontal="center" vertical="center"/>
    </xf>
    <xf numFmtId="2" fontId="38" fillId="9" borderId="0" xfId="0" applyNumberFormat="1" applyFont="1" applyFill="1" applyBorder="1" applyAlignment="1">
      <alignment horizontal="center" vertical="center"/>
    </xf>
    <xf numFmtId="2" fontId="58" fillId="3" borderId="8" xfId="0" applyNumberFormat="1" applyFont="1" applyFill="1" applyBorder="1" applyAlignment="1">
      <alignment horizontal="center" vertical="center"/>
    </xf>
    <xf numFmtId="2" fontId="58" fillId="3" borderId="12" xfId="0" applyNumberFormat="1" applyFont="1" applyFill="1" applyBorder="1" applyAlignment="1">
      <alignment horizontal="center" vertical="center"/>
    </xf>
    <xf numFmtId="2" fontId="58" fillId="8" borderId="9" xfId="0" applyNumberFormat="1" applyFont="1" applyFill="1" applyBorder="1" applyAlignment="1">
      <alignment horizontal="center" vertical="center"/>
    </xf>
    <xf numFmtId="2" fontId="39" fillId="0" borderId="0" xfId="12" applyNumberFormat="1" applyFont="1" applyAlignment="1">
      <alignment horizontal="center" vertical="center"/>
    </xf>
    <xf numFmtId="2" fontId="39" fillId="0" borderId="0" xfId="4" applyNumberFormat="1" applyFont="1" applyAlignment="1">
      <alignment horizontal="center" vertical="center"/>
    </xf>
    <xf numFmtId="2" fontId="39" fillId="0" borderId="0" xfId="7" applyNumberFormat="1" applyFont="1" applyAlignment="1">
      <alignment horizontal="center" vertical="center"/>
    </xf>
    <xf numFmtId="2" fontId="43" fillId="0" borderId="6" xfId="10" applyNumberFormat="1" applyFont="1" applyBorder="1" applyAlignment="1">
      <alignment horizontal="center" vertical="center"/>
    </xf>
    <xf numFmtId="2" fontId="43" fillId="0" borderId="6" xfId="0" applyNumberFormat="1" applyFont="1" applyBorder="1" applyAlignment="1">
      <alignment horizontal="center" vertical="center"/>
    </xf>
    <xf numFmtId="2" fontId="43" fillId="0" borderId="6" xfId="1" applyNumberFormat="1" applyFont="1" applyBorder="1" applyAlignment="1">
      <alignment horizontal="center" vertical="center"/>
    </xf>
    <xf numFmtId="2" fontId="43" fillId="0" borderId="11" xfId="1" applyNumberFormat="1" applyFont="1" applyBorder="1" applyAlignment="1">
      <alignment horizontal="center" vertical="center"/>
    </xf>
    <xf numFmtId="2" fontId="43" fillId="0" borderId="7" xfId="1" applyNumberFormat="1" applyFont="1" applyBorder="1" applyAlignment="1">
      <alignment horizontal="center" vertical="center"/>
    </xf>
    <xf numFmtId="2" fontId="47" fillId="0" borderId="0" xfId="0" applyNumberFormat="1" applyFont="1" applyAlignment="1">
      <alignment horizontal="center" vertical="center"/>
    </xf>
    <xf numFmtId="166" fontId="38" fillId="0" borderId="0" xfId="0" applyNumberFormat="1" applyFont="1" applyBorder="1"/>
    <xf numFmtId="1" fontId="47" fillId="0" borderId="5" xfId="0" applyNumberFormat="1" applyFont="1" applyBorder="1" applyAlignment="1">
      <alignment horizontal="center" vertical="center"/>
    </xf>
    <xf numFmtId="0" fontId="38" fillId="0" borderId="0" xfId="0" applyFont="1" applyAlignment="1">
      <alignment horizontal="center" vertical="center"/>
    </xf>
    <xf numFmtId="2" fontId="52" fillId="0" borderId="0" xfId="0" applyNumberFormat="1" applyFont="1" applyBorder="1"/>
    <xf numFmtId="1" fontId="51" fillId="0" borderId="0" xfId="0" applyNumberFormat="1" applyFont="1" applyBorder="1"/>
    <xf numFmtId="0" fontId="51" fillId="0" borderId="0" xfId="0" applyFont="1"/>
    <xf numFmtId="1" fontId="51" fillId="0" borderId="0" xfId="0" applyNumberFormat="1" applyFont="1" applyBorder="1" applyAlignment="1">
      <alignment horizontal="center"/>
    </xf>
    <xf numFmtId="0" fontId="39" fillId="0" borderId="0" xfId="0" applyFont="1" applyBorder="1" applyAlignment="1">
      <alignment horizontal="center" vertical="center"/>
    </xf>
    <xf numFmtId="0" fontId="38" fillId="0" borderId="13" xfId="0" applyFont="1" applyBorder="1" applyAlignment="1">
      <alignment wrapText="1"/>
    </xf>
    <xf numFmtId="2" fontId="47" fillId="0" borderId="0" xfId="0" applyNumberFormat="1" applyFont="1" applyBorder="1" applyAlignment="1">
      <alignment horizontal="center" vertical="center"/>
    </xf>
    <xf numFmtId="0" fontId="47" fillId="0" borderId="0" xfId="0" applyFont="1" applyBorder="1" applyAlignment="1">
      <alignment horizontal="center" vertical="center"/>
    </xf>
    <xf numFmtId="2" fontId="47" fillId="0" borderId="0" xfId="0" applyNumberFormat="1" applyFont="1" applyFill="1" applyBorder="1" applyAlignment="1">
      <alignment horizontal="center" vertical="center"/>
    </xf>
    <xf numFmtId="0" fontId="42" fillId="0" borderId="0" xfId="0" applyFont="1" applyBorder="1" applyAlignment="1">
      <alignment horizontal="center" vertical="center"/>
    </xf>
    <xf numFmtId="2" fontId="42" fillId="0" borderId="0" xfId="0" applyNumberFormat="1" applyFont="1" applyBorder="1" applyAlignment="1">
      <alignment horizontal="center" vertical="center"/>
    </xf>
    <xf numFmtId="2" fontId="38" fillId="0" borderId="0" xfId="0" applyNumberFormat="1" applyFont="1" applyBorder="1" applyAlignment="1">
      <alignment horizontal="left"/>
    </xf>
    <xf numFmtId="0" fontId="38" fillId="0" borderId="0" xfId="0" applyFont="1" applyBorder="1" applyAlignment="1">
      <alignment horizontal="center" vertical="center"/>
    </xf>
    <xf numFmtId="2" fontId="39" fillId="0" borderId="0" xfId="0" applyNumberFormat="1" applyFont="1" applyBorder="1" applyAlignment="1">
      <alignment horizontal="center" vertical="center"/>
    </xf>
    <xf numFmtId="2" fontId="52" fillId="0" borderId="0" xfId="0" applyNumberFormat="1" applyFont="1" applyBorder="1" applyAlignment="1">
      <alignment horizontal="center" vertical="center"/>
    </xf>
    <xf numFmtId="2" fontId="51" fillId="0" borderId="0" xfId="0" applyNumberFormat="1" applyFont="1" applyBorder="1" applyAlignment="1">
      <alignment horizontal="center" vertical="center"/>
    </xf>
    <xf numFmtId="2" fontId="51" fillId="0" borderId="0" xfId="0" applyNumberFormat="1" applyFont="1" applyFill="1" applyBorder="1" applyAlignment="1">
      <alignment horizontal="center" vertical="center"/>
    </xf>
    <xf numFmtId="1" fontId="52" fillId="0" borderId="0" xfId="0" applyNumberFormat="1" applyFont="1" applyBorder="1" applyAlignment="1">
      <alignment horizontal="center" vertical="center"/>
    </xf>
    <xf numFmtId="0" fontId="51" fillId="0" borderId="0" xfId="0" applyFont="1" applyBorder="1" applyAlignment="1">
      <alignment horizontal="center" vertical="center"/>
    </xf>
    <xf numFmtId="1" fontId="51" fillId="0" borderId="0" xfId="0" applyNumberFormat="1" applyFont="1" applyBorder="1" applyAlignment="1">
      <alignment horizontal="center" vertical="center"/>
    </xf>
    <xf numFmtId="0" fontId="43" fillId="0" borderId="0" xfId="0" applyFont="1" applyBorder="1"/>
    <xf numFmtId="0" fontId="51" fillId="0" borderId="0" xfId="0" applyFont="1" applyBorder="1"/>
    <xf numFmtId="2" fontId="51" fillId="0" borderId="0" xfId="0" applyNumberFormat="1" applyFont="1" applyBorder="1" applyAlignment="1">
      <alignment horizontal="center"/>
    </xf>
    <xf numFmtId="0" fontId="51" fillId="0" borderId="0" xfId="0" applyFont="1" applyBorder="1" applyAlignment="1">
      <alignment horizontal="center"/>
    </xf>
    <xf numFmtId="0" fontId="47" fillId="0" borderId="3" xfId="0" applyFont="1" applyBorder="1" applyAlignment="1">
      <alignment horizontal="center" vertical="center"/>
    </xf>
    <xf numFmtId="0" fontId="47" fillId="0" borderId="10" xfId="0" applyFont="1" applyBorder="1" applyAlignment="1">
      <alignment horizontal="center" vertical="center"/>
    </xf>
    <xf numFmtId="2" fontId="47" fillId="0" borderId="10" xfId="0" applyNumberFormat="1" applyFont="1" applyBorder="1" applyAlignment="1">
      <alignment horizontal="center" vertical="center"/>
    </xf>
    <xf numFmtId="2" fontId="38" fillId="0" borderId="4" xfId="0" applyNumberFormat="1" applyFont="1" applyBorder="1" applyAlignment="1">
      <alignment horizontal="left"/>
    </xf>
    <xf numFmtId="1" fontId="47" fillId="0" borderId="6" xfId="0" applyNumberFormat="1" applyFont="1" applyBorder="1" applyAlignment="1">
      <alignment horizontal="center" vertical="center"/>
    </xf>
    <xf numFmtId="1" fontId="38" fillId="0" borderId="8" xfId="0" applyNumberFormat="1" applyFont="1" applyBorder="1" applyAlignment="1">
      <alignment horizontal="center"/>
    </xf>
    <xf numFmtId="1" fontId="52" fillId="0" borderId="6" xfId="0" applyNumberFormat="1" applyFont="1" applyFill="1" applyBorder="1" applyAlignment="1">
      <alignment horizontal="center" vertical="center"/>
    </xf>
    <xf numFmtId="1" fontId="47" fillId="0" borderId="3" xfId="0" applyNumberFormat="1" applyFont="1" applyBorder="1" applyAlignment="1">
      <alignment horizontal="center" vertical="center"/>
    </xf>
    <xf numFmtId="1" fontId="38" fillId="0" borderId="12" xfId="0" applyNumberFormat="1" applyFont="1" applyBorder="1" applyAlignment="1">
      <alignment horizontal="center" vertical="center"/>
    </xf>
    <xf numFmtId="1" fontId="43" fillId="0" borderId="12" xfId="0" applyNumberFormat="1" applyFont="1" applyBorder="1" applyAlignment="1">
      <alignment horizontal="center" vertical="center"/>
    </xf>
    <xf numFmtId="2" fontId="38" fillId="0" borderId="12" xfId="0" applyNumberFormat="1" applyFont="1" applyBorder="1" applyAlignment="1">
      <alignment horizontal="center"/>
    </xf>
    <xf numFmtId="1" fontId="38" fillId="0" borderId="12" xfId="0" applyNumberFormat="1" applyFont="1" applyBorder="1" applyAlignment="1">
      <alignment horizontal="center"/>
    </xf>
    <xf numFmtId="0" fontId="38" fillId="0" borderId="11" xfId="0" applyFont="1" applyBorder="1" applyAlignment="1">
      <alignment horizontal="center" wrapText="1"/>
    </xf>
    <xf numFmtId="0" fontId="38" fillId="0" borderId="0" xfId="0" applyFont="1" applyAlignment="1">
      <alignment horizontal="center" textRotation="90" wrapText="1"/>
    </xf>
    <xf numFmtId="0" fontId="38" fillId="0" borderId="0" xfId="0" applyFont="1" applyAlignment="1">
      <alignment vertical="center" textRotation="90" wrapText="1"/>
    </xf>
    <xf numFmtId="0" fontId="38" fillId="0" borderId="10" xfId="0" applyFont="1" applyBorder="1" applyAlignment="1">
      <alignment horizontal="center" wrapText="1"/>
    </xf>
    <xf numFmtId="0" fontId="38" fillId="0" borderId="0" xfId="0" applyFont="1" applyBorder="1" applyAlignment="1">
      <alignment horizontal="center" wrapText="1"/>
    </xf>
    <xf numFmtId="0" fontId="38" fillId="0" borderId="0" xfId="0" applyFont="1" applyBorder="1" applyAlignment="1">
      <alignment horizontal="left" wrapText="1"/>
    </xf>
    <xf numFmtId="0" fontId="38" fillId="0" borderId="8" xfId="0" applyFont="1" applyBorder="1" applyAlignment="1">
      <alignment horizontal="left"/>
    </xf>
    <xf numFmtId="0" fontId="38" fillId="0" borderId="16" xfId="0" applyFont="1" applyBorder="1" applyAlignment="1">
      <alignment horizontal="left"/>
    </xf>
    <xf numFmtId="0" fontId="47" fillId="0" borderId="13" xfId="0" applyFont="1" applyBorder="1" applyAlignment="1">
      <alignment horizontal="center" vertical="center"/>
    </xf>
    <xf numFmtId="0" fontId="47" fillId="0" borderId="5" xfId="0" applyFont="1" applyBorder="1" applyAlignment="1">
      <alignment horizontal="center" vertical="center"/>
    </xf>
    <xf numFmtId="2" fontId="38" fillId="0" borderId="4" xfId="0" applyNumberFormat="1" applyFont="1" applyBorder="1" applyAlignment="1">
      <alignment horizontal="center" vertical="center"/>
    </xf>
    <xf numFmtId="2" fontId="38" fillId="0" borderId="5" xfId="0" applyNumberFormat="1" applyFont="1" applyBorder="1" applyAlignment="1">
      <alignment horizontal="center" vertical="center"/>
    </xf>
    <xf numFmtId="0" fontId="38" fillId="0" borderId="6" xfId="0" applyFont="1" applyBorder="1" applyAlignment="1">
      <alignment horizontal="center" wrapText="1"/>
    </xf>
    <xf numFmtId="0" fontId="38" fillId="0" borderId="7" xfId="0" applyFont="1" applyBorder="1" applyAlignment="1">
      <alignment horizontal="center" wrapText="1"/>
    </xf>
    <xf numFmtId="0" fontId="38" fillId="0" borderId="4" xfId="0" applyFont="1" applyBorder="1" applyAlignment="1">
      <alignment horizontal="center" vertical="center" wrapText="1"/>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38" fillId="0" borderId="7" xfId="0" applyFont="1" applyBorder="1" applyAlignment="1">
      <alignment horizontal="center" vertical="center" wrapText="1"/>
    </xf>
    <xf numFmtId="0" fontId="47" fillId="0" borderId="4" xfId="0" applyFont="1" applyBorder="1" applyAlignment="1">
      <alignment horizontal="center" vertical="center"/>
    </xf>
    <xf numFmtId="0" fontId="38" fillId="0" borderId="9" xfId="0" applyFont="1" applyBorder="1" applyAlignment="1">
      <alignment horizontal="left"/>
    </xf>
    <xf numFmtId="0" fontId="38" fillId="0" borderId="13" xfId="0" applyFont="1" applyBorder="1" applyAlignment="1">
      <alignment horizontal="center" vertical="center" wrapText="1"/>
    </xf>
    <xf numFmtId="0" fontId="38" fillId="0" borderId="8" xfId="0" applyFont="1" applyBorder="1" applyAlignment="1">
      <alignment horizontal="center" vertical="center" wrapText="1"/>
    </xf>
    <xf numFmtId="0" fontId="38" fillId="0" borderId="16" xfId="0" applyFont="1" applyBorder="1" applyAlignment="1">
      <alignment horizontal="center" vertical="center" wrapText="1"/>
    </xf>
    <xf numFmtId="0" fontId="47" fillId="0" borderId="14" xfId="0" applyFont="1" applyBorder="1" applyAlignment="1">
      <alignment horizontal="center" vertical="center"/>
    </xf>
    <xf numFmtId="0" fontId="47" fillId="0" borderId="15" xfId="0" applyFont="1" applyBorder="1" applyAlignment="1">
      <alignment horizontal="center" vertical="center"/>
    </xf>
    <xf numFmtId="0" fontId="47" fillId="0" borderId="0" xfId="0" applyFont="1" applyBorder="1" applyAlignment="1">
      <alignment horizontal="center" vertical="center"/>
    </xf>
    <xf numFmtId="0" fontId="38" fillId="0" borderId="14" xfId="0" applyFont="1" applyBorder="1" applyAlignment="1">
      <alignment horizontal="left"/>
    </xf>
    <xf numFmtId="0" fontId="38" fillId="0" borderId="15" xfId="0" applyFont="1" applyBorder="1" applyAlignment="1">
      <alignment horizontal="left"/>
    </xf>
    <xf numFmtId="0" fontId="47" fillId="0" borderId="17" xfId="0" applyFont="1" applyBorder="1" applyAlignment="1">
      <alignment horizontal="center" vertical="center"/>
    </xf>
    <xf numFmtId="0" fontId="48" fillId="0" borderId="0" xfId="0" applyFont="1" applyBorder="1" applyAlignment="1">
      <alignment horizontal="center" vertical="center"/>
    </xf>
    <xf numFmtId="0" fontId="38" fillId="0" borderId="0" xfId="0" applyFont="1" applyBorder="1" applyAlignment="1">
      <alignment horizontal="center" vertical="center" wrapText="1"/>
    </xf>
    <xf numFmtId="0" fontId="48" fillId="0" borderId="14" xfId="0" applyFont="1" applyBorder="1" applyAlignment="1">
      <alignment horizontal="center" vertical="center"/>
    </xf>
    <xf numFmtId="0" fontId="48" fillId="0" borderId="15" xfId="0" applyFont="1" applyBorder="1" applyAlignment="1">
      <alignment horizontal="center" vertical="center"/>
    </xf>
    <xf numFmtId="0" fontId="38" fillId="0" borderId="0" xfId="0" applyFont="1" applyAlignment="1">
      <alignment horizontal="center" vertical="center" wrapText="1"/>
    </xf>
    <xf numFmtId="0" fontId="48" fillId="0" borderId="17" xfId="0" applyFont="1" applyBorder="1" applyAlignment="1">
      <alignment horizontal="center" vertical="center"/>
    </xf>
    <xf numFmtId="2" fontId="38" fillId="0" borderId="0" xfId="0" applyNumberFormat="1" applyFont="1" applyBorder="1" applyAlignment="1">
      <alignment horizontal="center" vertical="center"/>
    </xf>
    <xf numFmtId="2" fontId="38" fillId="0" borderId="13" xfId="0" applyNumberFormat="1" applyFont="1" applyBorder="1" applyAlignment="1">
      <alignment horizontal="center" vertical="center"/>
    </xf>
    <xf numFmtId="0" fontId="42" fillId="0" borderId="8" xfId="0" applyFont="1" applyBorder="1" applyAlignment="1">
      <alignment horizontal="left"/>
    </xf>
    <xf numFmtId="0" fontId="42" fillId="0" borderId="9" xfId="0" applyFont="1" applyBorder="1" applyAlignment="1">
      <alignment horizontal="left"/>
    </xf>
    <xf numFmtId="0" fontId="38" fillId="0" borderId="14" xfId="0" applyFont="1" applyBorder="1" applyAlignment="1">
      <alignment horizontal="center"/>
    </xf>
    <xf numFmtId="0" fontId="38" fillId="0" borderId="17" xfId="0" applyFont="1" applyBorder="1" applyAlignment="1">
      <alignment horizontal="center"/>
    </xf>
    <xf numFmtId="0" fontId="38" fillId="0" borderId="15" xfId="0" applyFont="1" applyBorder="1" applyAlignment="1">
      <alignment horizontal="center"/>
    </xf>
    <xf numFmtId="0" fontId="38" fillId="0" borderId="10" xfId="0" applyFont="1" applyBorder="1" applyAlignment="1">
      <alignment horizontal="center" vertical="center" textRotation="90"/>
    </xf>
    <xf numFmtId="0" fontId="38" fillId="0" borderId="11" xfId="0" applyFont="1" applyBorder="1" applyAlignment="1">
      <alignment horizontal="center" vertical="center" textRotation="90"/>
    </xf>
    <xf numFmtId="0" fontId="38" fillId="0" borderId="4" xfId="0" applyFont="1" applyBorder="1" applyAlignment="1">
      <alignment horizontal="center"/>
    </xf>
    <xf numFmtId="0" fontId="38" fillId="0" borderId="13" xfId="0" applyFont="1" applyBorder="1" applyAlignment="1">
      <alignment horizontal="center"/>
    </xf>
    <xf numFmtId="0" fontId="38" fillId="0" borderId="5" xfId="0" applyFont="1" applyBorder="1" applyAlignment="1">
      <alignment horizontal="center"/>
    </xf>
    <xf numFmtId="2" fontId="38" fillId="0" borderId="10" xfId="0" applyNumberFormat="1" applyFont="1" applyBorder="1" applyAlignment="1">
      <alignment horizontal="center" vertical="center" textRotation="90" wrapText="1"/>
    </xf>
    <xf numFmtId="2" fontId="38" fillId="0" borderId="11" xfId="0" applyNumberFormat="1" applyFont="1" applyBorder="1" applyAlignment="1">
      <alignment horizontal="center" vertical="center" textRotation="90" wrapText="1"/>
    </xf>
    <xf numFmtId="2" fontId="38" fillId="0" borderId="12" xfId="0" applyNumberFormat="1" applyFont="1" applyBorder="1" applyAlignment="1">
      <alignment horizontal="center" vertical="center" textRotation="90" wrapText="1"/>
    </xf>
    <xf numFmtId="0" fontId="31" fillId="8" borderId="0" xfId="0" applyFont="1" applyFill="1"/>
  </cellXfs>
  <cellStyles count="14">
    <cellStyle name="Normal" xfId="0" builtinId="0"/>
    <cellStyle name="Normal 10" xfId="9" xr:uid="{00000000-0005-0000-0000-000001000000}"/>
    <cellStyle name="Normal 11" xfId="10" xr:uid="{00000000-0005-0000-0000-000002000000}"/>
    <cellStyle name="Normal 12" xfId="11" xr:uid="{00000000-0005-0000-0000-000003000000}"/>
    <cellStyle name="Normal 13" xfId="12" xr:uid="{00000000-0005-0000-0000-000004000000}"/>
    <cellStyle name="Normal 14" xfId="13" xr:uid="{00000000-0005-0000-0000-000005000000}"/>
    <cellStyle name="Normal 2" xfId="1" xr:uid="{00000000-0005-0000-0000-000006000000}"/>
    <cellStyle name="Normal 3" xfId="2" xr:uid="{00000000-0005-0000-0000-000007000000}"/>
    <cellStyle name="Normal 4" xfId="3" xr:uid="{00000000-0005-0000-0000-000008000000}"/>
    <cellStyle name="Normal 5" xfId="4" xr:uid="{00000000-0005-0000-0000-000009000000}"/>
    <cellStyle name="Normal 6" xfId="5" xr:uid="{00000000-0005-0000-0000-00000A000000}"/>
    <cellStyle name="Normal 7" xfId="6" xr:uid="{00000000-0005-0000-0000-00000B000000}"/>
    <cellStyle name="Normal 8" xfId="7" xr:uid="{00000000-0005-0000-0000-00000C000000}"/>
    <cellStyle name="Normal 9" xfId="8" xr:uid="{00000000-0005-0000-0000-00000D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BB538"/>
      <color rgb="FF0000FF"/>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2.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calcChain" Target="calcChain.xml"/><Relationship Id="rId2" Type="http://schemas.openxmlformats.org/officeDocument/2006/relationships/worksheet" Target="worksheets/sheet1.xml"/><Relationship Id="rId16" Type="http://schemas.openxmlformats.org/officeDocument/2006/relationships/sharedStrings" Target="sharedStrings.xml"/><Relationship Id="rId1" Type="http://schemas.openxmlformats.org/officeDocument/2006/relationships/dialogsheet" Target="dialogsheets/sheet1.xml"/><Relationship Id="rId6" Type="http://schemas.openxmlformats.org/officeDocument/2006/relationships/worksheet" Target="worksheets/sheet5.xml"/><Relationship Id="rId11" Type="http://schemas.openxmlformats.org/officeDocument/2006/relationships/worksheet" Target="worksheets/sheet10.xml"/><Relationship Id="rId5" Type="http://schemas.openxmlformats.org/officeDocument/2006/relationships/worksheet" Target="worksheets/sheet4.xml"/><Relationship Id="rId15" Type="http://schemas.openxmlformats.org/officeDocument/2006/relationships/styles" Target="styles.xml"/><Relationship Id="rId10" Type="http://schemas.openxmlformats.org/officeDocument/2006/relationships/worksheet" Target="worksheets/sheet9.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theme" Target="theme/theme1.xml"/></Relationships>
</file>

<file path=xl/charts/_rels/chart8.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SCHEMATIC</a:t>
            </a:r>
          </a:p>
        </c:rich>
      </c:tx>
      <c:layout>
        <c:manualLayout>
          <c:xMode val="edge"/>
          <c:yMode val="edge"/>
          <c:x val="0.5325872016832508"/>
          <c:y val="1.9493403287649713E-2"/>
        </c:manualLayout>
      </c:layout>
      <c:overlay val="0"/>
      <c:spPr>
        <a:noFill/>
        <a:ln w="25400">
          <a:noFill/>
        </a:ln>
      </c:spPr>
    </c:title>
    <c:autoTitleDeleted val="0"/>
    <c:plotArea>
      <c:layout>
        <c:manualLayout>
          <c:layoutTarget val="inner"/>
          <c:xMode val="edge"/>
          <c:yMode val="edge"/>
          <c:x val="0.14869449540758573"/>
          <c:y val="3.6038315546683873E-2"/>
          <c:w val="0.67734660731378638"/>
          <c:h val="0.79727247287797132"/>
        </c:manualLayout>
      </c:layout>
      <c:scatterChart>
        <c:scatterStyle val="lineMarker"/>
        <c:varyColors val="0"/>
        <c:ser>
          <c:idx val="0"/>
          <c:order val="0"/>
          <c:spPr>
            <a:ln w="9525">
              <a:solidFill>
                <a:srgbClr val="000080"/>
              </a:solidFill>
              <a:prstDash val="solid"/>
            </a:ln>
          </c:spPr>
          <c:marker>
            <c:symbol val="dot"/>
            <c:size val="2"/>
            <c:spPr>
              <a:solidFill>
                <a:srgbClr val="000080"/>
              </a:solidFill>
              <a:ln>
                <a:solidFill>
                  <a:srgbClr val="000080"/>
                </a:solidFill>
                <a:prstDash val="solid"/>
              </a:ln>
            </c:spPr>
          </c:marker>
          <c:xVal>
            <c:numRef>
              <c:f>'Girder Property'!$A$101:$A$129</c:f>
              <c:numCache>
                <c:formatCode>General</c:formatCode>
                <c:ptCount val="13"/>
                <c:pt idx="0">
                  <c:v>0</c:v>
                </c:pt>
                <c:pt idx="1">
                  <c:v>35</c:v>
                </c:pt>
                <c:pt idx="2">
                  <c:v>35</c:v>
                </c:pt>
                <c:pt idx="3">
                  <c:v>15</c:v>
                </c:pt>
                <c:pt idx="4">
                  <c:v>15</c:v>
                </c:pt>
                <c:pt idx="5">
                  <c:v>35</c:v>
                </c:pt>
                <c:pt idx="6">
                  <c:v>35</c:v>
                </c:pt>
                <c:pt idx="7">
                  <c:v>-35</c:v>
                </c:pt>
                <c:pt idx="8">
                  <c:v>-35</c:v>
                </c:pt>
                <c:pt idx="9">
                  <c:v>-15</c:v>
                </c:pt>
                <c:pt idx="10">
                  <c:v>-15</c:v>
                </c:pt>
                <c:pt idx="11">
                  <c:v>-35</c:v>
                </c:pt>
                <c:pt idx="12">
                  <c:v>-35</c:v>
                </c:pt>
              </c:numCache>
            </c:numRef>
          </c:xVal>
          <c:yVal>
            <c:numRef>
              <c:f>'Girder Property'!$B$101:$B$129</c:f>
              <c:numCache>
                <c:formatCode>General</c:formatCode>
                <c:ptCount val="13"/>
                <c:pt idx="0">
                  <c:v>0</c:v>
                </c:pt>
                <c:pt idx="1">
                  <c:v>0</c:v>
                </c:pt>
                <c:pt idx="2">
                  <c:v>25</c:v>
                </c:pt>
                <c:pt idx="3">
                  <c:v>40</c:v>
                </c:pt>
                <c:pt idx="4">
                  <c:v>150</c:v>
                </c:pt>
                <c:pt idx="5">
                  <c:v>165</c:v>
                </c:pt>
                <c:pt idx="6">
                  <c:v>180</c:v>
                </c:pt>
                <c:pt idx="7">
                  <c:v>180</c:v>
                </c:pt>
                <c:pt idx="8">
                  <c:v>165</c:v>
                </c:pt>
                <c:pt idx="9">
                  <c:v>150</c:v>
                </c:pt>
                <c:pt idx="10">
                  <c:v>40</c:v>
                </c:pt>
                <c:pt idx="11">
                  <c:v>25</c:v>
                </c:pt>
                <c:pt idx="12">
                  <c:v>0</c:v>
                </c:pt>
              </c:numCache>
            </c:numRef>
          </c:yVal>
          <c:smooth val="0"/>
          <c:extLst>
            <c:ext xmlns:c16="http://schemas.microsoft.com/office/drawing/2014/chart" uri="{C3380CC4-5D6E-409C-BE32-E72D297353CC}">
              <c16:uniqueId val="{00000000-D474-49C2-8B98-A11BDB9FDED7}"/>
            </c:ext>
          </c:extLst>
        </c:ser>
        <c:dLbls>
          <c:showLegendKey val="0"/>
          <c:showVal val="0"/>
          <c:showCatName val="0"/>
          <c:showSerName val="0"/>
          <c:showPercent val="0"/>
          <c:showBubbleSize val="0"/>
        </c:dLbls>
        <c:axId val="343691960"/>
        <c:axId val="343691568"/>
      </c:scatterChart>
      <c:valAx>
        <c:axId val="343691960"/>
        <c:scaling>
          <c:orientation val="minMax"/>
        </c:scaling>
        <c:delete val="0"/>
        <c:axPos val="b"/>
        <c:majorGridlines/>
        <c:minorGridlines/>
        <c:title>
          <c:tx>
            <c:rich>
              <a:bodyPr/>
              <a:lstStyle/>
              <a:p>
                <a:pPr>
                  <a:defRPr sz="1200" b="1" i="0" u="none" strike="noStrike" baseline="0">
                    <a:solidFill>
                      <a:srgbClr val="000000"/>
                    </a:solidFill>
                    <a:latin typeface="Arial"/>
                    <a:ea typeface="Arial"/>
                    <a:cs typeface="Arial"/>
                  </a:defRPr>
                </a:pPr>
                <a:r>
                  <a:rPr lang="en-US"/>
                  <a:t>X Axis</a:t>
                </a:r>
              </a:p>
            </c:rich>
          </c:tx>
          <c:layout>
            <c:manualLayout>
              <c:xMode val="edge"/>
              <c:yMode val="edge"/>
              <c:x val="0.36065670001040623"/>
              <c:y val="0.90643447405441724"/>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43691568"/>
        <c:crosses val="autoZero"/>
        <c:crossBetween val="midCat"/>
      </c:valAx>
      <c:valAx>
        <c:axId val="343691568"/>
        <c:scaling>
          <c:orientation val="minMax"/>
        </c:scaling>
        <c:delete val="0"/>
        <c:axPos val="l"/>
        <c:majorGridlines/>
        <c:minorGridlines/>
        <c:title>
          <c:tx>
            <c:rich>
              <a:bodyPr/>
              <a:lstStyle/>
              <a:p>
                <a:pPr>
                  <a:defRPr sz="1200" b="1" i="0" u="none" strike="noStrike" baseline="0">
                    <a:solidFill>
                      <a:srgbClr val="000000"/>
                    </a:solidFill>
                    <a:latin typeface="Arial"/>
                    <a:ea typeface="Arial"/>
                    <a:cs typeface="Arial"/>
                  </a:defRPr>
                </a:pPr>
                <a:r>
                  <a:rPr lang="en-US"/>
                  <a:t>Y Axis
</a:t>
                </a:r>
              </a:p>
            </c:rich>
          </c:tx>
          <c:layout>
            <c:manualLayout>
              <c:xMode val="edge"/>
              <c:yMode val="edge"/>
              <c:x val="1.9125734091460945E-2"/>
              <c:y val="0.39766157571419636"/>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43691960"/>
        <c:crosses val="autoZero"/>
        <c:crossBetween val="midCat"/>
      </c:valAx>
      <c:spPr>
        <a:noFill/>
        <a:ln w="25400">
          <a:noFill/>
        </a:ln>
      </c:spPr>
    </c:plotArea>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44" r="0.75000000000000044"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SCHEMATIC</a:t>
            </a:r>
          </a:p>
        </c:rich>
      </c:tx>
      <c:layout>
        <c:manualLayout>
          <c:xMode val="edge"/>
          <c:yMode val="edge"/>
          <c:x val="0.70744785215887884"/>
          <c:y val="1.2241470769445128E-2"/>
        </c:manualLayout>
      </c:layout>
      <c:overlay val="0"/>
      <c:spPr>
        <a:noFill/>
        <a:ln w="25400">
          <a:noFill/>
        </a:ln>
      </c:spPr>
    </c:title>
    <c:autoTitleDeleted val="0"/>
    <c:plotArea>
      <c:layout>
        <c:manualLayout>
          <c:layoutTarget val="inner"/>
          <c:xMode val="edge"/>
          <c:yMode val="edge"/>
          <c:x val="0.19269194452279068"/>
          <c:y val="2.0231530730582582E-2"/>
          <c:w val="0.67035727862459782"/>
          <c:h val="0.79364655190626809"/>
        </c:manualLayout>
      </c:layout>
      <c:scatterChart>
        <c:scatterStyle val="lineMarker"/>
        <c:varyColors val="0"/>
        <c:ser>
          <c:idx val="0"/>
          <c:order val="0"/>
          <c:spPr>
            <a:ln w="12700">
              <a:solidFill>
                <a:srgbClr val="000080"/>
              </a:solidFill>
              <a:prstDash val="solid"/>
            </a:ln>
          </c:spPr>
          <c:marker>
            <c:symbol val="dot"/>
            <c:size val="2"/>
            <c:spPr>
              <a:solidFill>
                <a:srgbClr val="000080"/>
              </a:solidFill>
              <a:ln>
                <a:solidFill>
                  <a:srgbClr val="000080"/>
                </a:solidFill>
                <a:prstDash val="solid"/>
              </a:ln>
            </c:spPr>
          </c:marker>
          <c:xVal>
            <c:numRef>
              <c:f>'Girder Property'!$A$326:$A$355</c:f>
              <c:numCache>
                <c:formatCode>General</c:formatCode>
                <c:ptCount val="19"/>
                <c:pt idx="0">
                  <c:v>0</c:v>
                </c:pt>
                <c:pt idx="1">
                  <c:v>35</c:v>
                </c:pt>
                <c:pt idx="2">
                  <c:v>35</c:v>
                </c:pt>
                <c:pt idx="3">
                  <c:v>15</c:v>
                </c:pt>
                <c:pt idx="4">
                  <c:v>15</c:v>
                </c:pt>
                <c:pt idx="5">
                  <c:v>35</c:v>
                </c:pt>
                <c:pt idx="6">
                  <c:v>35</c:v>
                </c:pt>
                <c:pt idx="7">
                  <c:v>120</c:v>
                </c:pt>
                <c:pt idx="8">
                  <c:v>120</c:v>
                </c:pt>
                <c:pt idx="9">
                  <c:v>-120</c:v>
                </c:pt>
                <c:pt idx="10">
                  <c:v>-120</c:v>
                </c:pt>
                <c:pt idx="11">
                  <c:v>-35</c:v>
                </c:pt>
                <c:pt idx="12">
                  <c:v>-35</c:v>
                </c:pt>
                <c:pt idx="13">
                  <c:v>-15</c:v>
                </c:pt>
                <c:pt idx="14">
                  <c:v>-15</c:v>
                </c:pt>
                <c:pt idx="15">
                  <c:v>-35</c:v>
                </c:pt>
                <c:pt idx="16">
                  <c:v>-35</c:v>
                </c:pt>
                <c:pt idx="17">
                  <c:v>0</c:v>
                </c:pt>
                <c:pt idx="18">
                  <c:v>0</c:v>
                </c:pt>
              </c:numCache>
            </c:numRef>
          </c:xVal>
          <c:yVal>
            <c:numRef>
              <c:f>'Girder Property'!$B$326:$B$355</c:f>
              <c:numCache>
                <c:formatCode>General</c:formatCode>
                <c:ptCount val="19"/>
                <c:pt idx="0">
                  <c:v>0</c:v>
                </c:pt>
                <c:pt idx="1">
                  <c:v>0</c:v>
                </c:pt>
                <c:pt idx="2">
                  <c:v>25</c:v>
                </c:pt>
                <c:pt idx="3">
                  <c:v>40</c:v>
                </c:pt>
                <c:pt idx="4">
                  <c:v>150</c:v>
                </c:pt>
                <c:pt idx="5">
                  <c:v>165</c:v>
                </c:pt>
                <c:pt idx="6">
                  <c:v>180</c:v>
                </c:pt>
                <c:pt idx="7">
                  <c:v>180</c:v>
                </c:pt>
                <c:pt idx="8">
                  <c:v>205</c:v>
                </c:pt>
                <c:pt idx="9">
                  <c:v>205</c:v>
                </c:pt>
                <c:pt idx="10">
                  <c:v>180</c:v>
                </c:pt>
                <c:pt idx="11">
                  <c:v>180</c:v>
                </c:pt>
                <c:pt idx="12">
                  <c:v>165</c:v>
                </c:pt>
                <c:pt idx="13">
                  <c:v>150</c:v>
                </c:pt>
                <c:pt idx="14">
                  <c:v>40</c:v>
                </c:pt>
                <c:pt idx="15">
                  <c:v>25</c:v>
                </c:pt>
                <c:pt idx="16">
                  <c:v>0</c:v>
                </c:pt>
                <c:pt idx="17">
                  <c:v>0</c:v>
                </c:pt>
                <c:pt idx="18">
                  <c:v>0</c:v>
                </c:pt>
              </c:numCache>
            </c:numRef>
          </c:yVal>
          <c:smooth val="0"/>
          <c:extLst>
            <c:ext xmlns:c16="http://schemas.microsoft.com/office/drawing/2014/chart" uri="{C3380CC4-5D6E-409C-BE32-E72D297353CC}">
              <c16:uniqueId val="{00000000-837B-4B72-A837-E3AD1F6297DF}"/>
            </c:ext>
          </c:extLst>
        </c:ser>
        <c:dLbls>
          <c:showLegendKey val="0"/>
          <c:showVal val="0"/>
          <c:showCatName val="0"/>
          <c:showSerName val="0"/>
          <c:showPercent val="0"/>
          <c:showBubbleSize val="0"/>
        </c:dLbls>
        <c:axId val="343691176"/>
        <c:axId val="343694312"/>
      </c:scatterChart>
      <c:valAx>
        <c:axId val="343691176"/>
        <c:scaling>
          <c:orientation val="minMax"/>
        </c:scaling>
        <c:delete val="0"/>
        <c:axPos val="b"/>
        <c:majorGridlines/>
        <c:minorGridlines/>
        <c:title>
          <c:tx>
            <c:rich>
              <a:bodyPr/>
              <a:lstStyle/>
              <a:p>
                <a:pPr>
                  <a:defRPr sz="1200" b="1" i="0" u="none" strike="noStrike" baseline="0">
                    <a:solidFill>
                      <a:srgbClr val="000000"/>
                    </a:solidFill>
                    <a:latin typeface="Arial"/>
                    <a:ea typeface="Arial"/>
                    <a:cs typeface="Arial"/>
                  </a:defRPr>
                </a:pPr>
                <a:r>
                  <a:rPr lang="en-US"/>
                  <a:t>X Axis</a:t>
                </a:r>
              </a:p>
            </c:rich>
          </c:tx>
          <c:layout>
            <c:manualLayout>
              <c:xMode val="edge"/>
              <c:yMode val="edge"/>
              <c:x val="0.36065670001040623"/>
              <c:y val="0.90643447405441724"/>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43694312"/>
        <c:crosses val="autoZero"/>
        <c:crossBetween val="midCat"/>
      </c:valAx>
      <c:valAx>
        <c:axId val="343694312"/>
        <c:scaling>
          <c:orientation val="minMax"/>
        </c:scaling>
        <c:delete val="0"/>
        <c:axPos val="l"/>
        <c:majorGridlines/>
        <c:minorGridlines/>
        <c:title>
          <c:tx>
            <c:rich>
              <a:bodyPr/>
              <a:lstStyle/>
              <a:p>
                <a:pPr>
                  <a:defRPr sz="1200" b="1" i="0" u="none" strike="noStrike" baseline="0">
                    <a:solidFill>
                      <a:srgbClr val="000000"/>
                    </a:solidFill>
                    <a:latin typeface="Arial"/>
                    <a:ea typeface="Arial"/>
                    <a:cs typeface="Arial"/>
                  </a:defRPr>
                </a:pPr>
                <a:r>
                  <a:rPr lang="en-US"/>
                  <a:t>Y Axis
</a:t>
                </a:r>
              </a:p>
            </c:rich>
          </c:tx>
          <c:layout>
            <c:manualLayout>
              <c:xMode val="edge"/>
              <c:yMode val="edge"/>
              <c:x val="1.9125734091460945E-2"/>
              <c:y val="0.39766157571419636"/>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43691176"/>
        <c:crosses val="autoZero"/>
        <c:crossBetween val="midCat"/>
      </c:valAx>
      <c:spPr>
        <a:noFill/>
        <a:ln w="25400">
          <a:noFill/>
        </a:ln>
      </c:spPr>
    </c:plotArea>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44" r="0.75000000000000044"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SCHEMATIC</a:t>
            </a:r>
          </a:p>
        </c:rich>
      </c:tx>
      <c:layout>
        <c:manualLayout>
          <c:xMode val="edge"/>
          <c:yMode val="edge"/>
          <c:x val="0.5325872016832508"/>
          <c:y val="1.9493403287649713E-2"/>
        </c:manualLayout>
      </c:layout>
      <c:overlay val="0"/>
      <c:spPr>
        <a:noFill/>
        <a:ln w="25400">
          <a:noFill/>
        </a:ln>
      </c:spPr>
    </c:title>
    <c:autoTitleDeleted val="0"/>
    <c:plotArea>
      <c:layout>
        <c:manualLayout>
          <c:layoutTarget val="inner"/>
          <c:xMode val="edge"/>
          <c:yMode val="edge"/>
          <c:x val="0.14869449540758573"/>
          <c:y val="3.6038315546683873E-2"/>
          <c:w val="0.67734660731378638"/>
          <c:h val="0.79727247287797132"/>
        </c:manualLayout>
      </c:layout>
      <c:scatterChart>
        <c:scatterStyle val="lineMarker"/>
        <c:varyColors val="0"/>
        <c:ser>
          <c:idx val="0"/>
          <c:order val="0"/>
          <c:spPr>
            <a:ln w="12700">
              <a:solidFill>
                <a:srgbClr val="000080"/>
              </a:solidFill>
              <a:prstDash val="solid"/>
            </a:ln>
          </c:spPr>
          <c:marker>
            <c:symbol val="dot"/>
            <c:size val="2"/>
            <c:spPr>
              <a:solidFill>
                <a:srgbClr val="000080"/>
              </a:solidFill>
              <a:ln>
                <a:solidFill>
                  <a:srgbClr val="000080"/>
                </a:solidFill>
                <a:prstDash val="solid"/>
              </a:ln>
            </c:spPr>
          </c:marker>
          <c:xVal>
            <c:numRef>
              <c:f>'Girder Property'!$A$190:$A$219</c:f>
              <c:numCache>
                <c:formatCode>General</c:formatCode>
                <c:ptCount val="11"/>
                <c:pt idx="0">
                  <c:v>-35</c:v>
                </c:pt>
                <c:pt idx="1">
                  <c:v>-15</c:v>
                </c:pt>
                <c:pt idx="2">
                  <c:v>-15</c:v>
                </c:pt>
                <c:pt idx="3">
                  <c:v>-35</c:v>
                </c:pt>
                <c:pt idx="4">
                  <c:v>-35</c:v>
                </c:pt>
                <c:pt idx="6">
                  <c:v>35</c:v>
                </c:pt>
                <c:pt idx="7">
                  <c:v>15</c:v>
                </c:pt>
                <c:pt idx="8">
                  <c:v>15</c:v>
                </c:pt>
                <c:pt idx="9">
                  <c:v>35</c:v>
                </c:pt>
                <c:pt idx="10">
                  <c:v>35</c:v>
                </c:pt>
              </c:numCache>
            </c:numRef>
          </c:xVal>
          <c:yVal>
            <c:numRef>
              <c:f>'Girder Property'!$B$190:$B$219</c:f>
              <c:numCache>
                <c:formatCode>General</c:formatCode>
                <c:ptCount val="11"/>
                <c:pt idx="0">
                  <c:v>25</c:v>
                </c:pt>
                <c:pt idx="1">
                  <c:v>40</c:v>
                </c:pt>
                <c:pt idx="2">
                  <c:v>150</c:v>
                </c:pt>
                <c:pt idx="3">
                  <c:v>165</c:v>
                </c:pt>
                <c:pt idx="4">
                  <c:v>25</c:v>
                </c:pt>
                <c:pt idx="6">
                  <c:v>25</c:v>
                </c:pt>
                <c:pt idx="7">
                  <c:v>40</c:v>
                </c:pt>
                <c:pt idx="8">
                  <c:v>150</c:v>
                </c:pt>
                <c:pt idx="9">
                  <c:v>165</c:v>
                </c:pt>
                <c:pt idx="10">
                  <c:v>25</c:v>
                </c:pt>
              </c:numCache>
            </c:numRef>
          </c:yVal>
          <c:smooth val="0"/>
          <c:extLst>
            <c:ext xmlns:c16="http://schemas.microsoft.com/office/drawing/2014/chart" uri="{C3380CC4-5D6E-409C-BE32-E72D297353CC}">
              <c16:uniqueId val="{00000000-EA94-4C35-B67B-414D0922EC30}"/>
            </c:ext>
          </c:extLst>
        </c:ser>
        <c:dLbls>
          <c:showLegendKey val="0"/>
          <c:showVal val="0"/>
          <c:showCatName val="0"/>
          <c:showSerName val="0"/>
          <c:showPercent val="0"/>
          <c:showBubbleSize val="0"/>
        </c:dLbls>
        <c:axId val="343692352"/>
        <c:axId val="344464224"/>
      </c:scatterChart>
      <c:valAx>
        <c:axId val="343692352"/>
        <c:scaling>
          <c:orientation val="minMax"/>
        </c:scaling>
        <c:delete val="0"/>
        <c:axPos val="b"/>
        <c:majorGridlines/>
        <c:minorGridlines/>
        <c:title>
          <c:tx>
            <c:rich>
              <a:bodyPr/>
              <a:lstStyle/>
              <a:p>
                <a:pPr>
                  <a:defRPr sz="1200" b="1" i="0" u="none" strike="noStrike" baseline="0">
                    <a:solidFill>
                      <a:srgbClr val="000000"/>
                    </a:solidFill>
                    <a:latin typeface="Arial"/>
                    <a:ea typeface="Arial"/>
                    <a:cs typeface="Arial"/>
                  </a:defRPr>
                </a:pPr>
                <a:r>
                  <a:rPr lang="en-US"/>
                  <a:t>X Axis</a:t>
                </a:r>
              </a:p>
            </c:rich>
          </c:tx>
          <c:layout>
            <c:manualLayout>
              <c:xMode val="edge"/>
              <c:yMode val="edge"/>
              <c:x val="0.36065670001040623"/>
              <c:y val="0.90643447405441724"/>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44464224"/>
        <c:crosses val="autoZero"/>
        <c:crossBetween val="midCat"/>
      </c:valAx>
      <c:valAx>
        <c:axId val="344464224"/>
        <c:scaling>
          <c:orientation val="minMax"/>
        </c:scaling>
        <c:delete val="0"/>
        <c:axPos val="l"/>
        <c:majorGridlines/>
        <c:minorGridlines/>
        <c:title>
          <c:tx>
            <c:rich>
              <a:bodyPr/>
              <a:lstStyle/>
              <a:p>
                <a:pPr>
                  <a:defRPr sz="1200" b="1" i="0" u="none" strike="noStrike" baseline="0">
                    <a:solidFill>
                      <a:srgbClr val="000000"/>
                    </a:solidFill>
                    <a:latin typeface="Arial"/>
                    <a:ea typeface="Arial"/>
                    <a:cs typeface="Arial"/>
                  </a:defRPr>
                </a:pPr>
                <a:r>
                  <a:rPr lang="en-US"/>
                  <a:t>Y Axis
</a:t>
                </a:r>
              </a:p>
            </c:rich>
          </c:tx>
          <c:layout>
            <c:manualLayout>
              <c:xMode val="edge"/>
              <c:yMode val="edge"/>
              <c:x val="1.9125734091460945E-2"/>
              <c:y val="0.39766157571419636"/>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43692352"/>
        <c:crosses val="autoZero"/>
        <c:crossBetween val="midCat"/>
      </c:valAx>
      <c:spPr>
        <a:noFill/>
        <a:ln w="25400">
          <a:noFill/>
        </a:ln>
      </c:spPr>
    </c:plotArea>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44" r="0.75000000000000044"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SCHEMATIC</a:t>
            </a:r>
          </a:p>
        </c:rich>
      </c:tx>
      <c:layout>
        <c:manualLayout>
          <c:xMode val="edge"/>
          <c:yMode val="edge"/>
          <c:x val="0.5325872016832508"/>
          <c:y val="1.9493403287649713E-2"/>
        </c:manualLayout>
      </c:layout>
      <c:overlay val="0"/>
      <c:spPr>
        <a:noFill/>
        <a:ln w="25400">
          <a:noFill/>
        </a:ln>
      </c:spPr>
    </c:title>
    <c:autoTitleDeleted val="0"/>
    <c:plotArea>
      <c:layout>
        <c:manualLayout>
          <c:layoutTarget val="inner"/>
          <c:xMode val="edge"/>
          <c:yMode val="edge"/>
          <c:x val="0.14869449540758573"/>
          <c:y val="3.6038315546683873E-2"/>
          <c:w val="0.67734660731378638"/>
          <c:h val="0.79727247287797132"/>
        </c:manualLayout>
      </c:layout>
      <c:scatterChart>
        <c:scatterStyle val="lineMarker"/>
        <c:varyColors val="0"/>
        <c:ser>
          <c:idx val="0"/>
          <c:order val="0"/>
          <c:spPr>
            <a:ln w="12700">
              <a:solidFill>
                <a:srgbClr val="000080"/>
              </a:solidFill>
              <a:prstDash val="solid"/>
            </a:ln>
          </c:spPr>
          <c:marker>
            <c:symbol val="dot"/>
            <c:size val="2"/>
            <c:spPr>
              <a:solidFill>
                <a:srgbClr val="000080"/>
              </a:solidFill>
              <a:ln>
                <a:solidFill>
                  <a:srgbClr val="000080"/>
                </a:solidFill>
                <a:prstDash val="solid"/>
              </a:ln>
            </c:spPr>
          </c:marker>
          <c:xVal>
            <c:numRef>
              <c:f>'Girder Property'!$A$227:$A$239</c:f>
              <c:numCache>
                <c:formatCode>General</c:formatCode>
                <c:ptCount val="12"/>
                <c:pt idx="0">
                  <c:v>35</c:v>
                </c:pt>
                <c:pt idx="1">
                  <c:v>35</c:v>
                </c:pt>
                <c:pt idx="2">
                  <c:v>35</c:v>
                </c:pt>
                <c:pt idx="3">
                  <c:v>205</c:v>
                </c:pt>
                <c:pt idx="4">
                  <c:v>205</c:v>
                </c:pt>
                <c:pt idx="5">
                  <c:v>205</c:v>
                </c:pt>
                <c:pt idx="6">
                  <c:v>35</c:v>
                </c:pt>
              </c:numCache>
            </c:numRef>
          </c:xVal>
          <c:yVal>
            <c:numRef>
              <c:f>'Girder Property'!$B$227:$B$239</c:f>
              <c:numCache>
                <c:formatCode>General</c:formatCode>
                <c:ptCount val="12"/>
                <c:pt idx="0">
                  <c:v>25</c:v>
                </c:pt>
                <c:pt idx="1">
                  <c:v>165</c:v>
                </c:pt>
                <c:pt idx="2">
                  <c:v>180</c:v>
                </c:pt>
                <c:pt idx="3">
                  <c:v>180</c:v>
                </c:pt>
                <c:pt idx="4">
                  <c:v>165</c:v>
                </c:pt>
                <c:pt idx="5">
                  <c:v>25</c:v>
                </c:pt>
                <c:pt idx="6">
                  <c:v>25</c:v>
                </c:pt>
              </c:numCache>
            </c:numRef>
          </c:yVal>
          <c:smooth val="0"/>
          <c:extLst>
            <c:ext xmlns:c16="http://schemas.microsoft.com/office/drawing/2014/chart" uri="{C3380CC4-5D6E-409C-BE32-E72D297353CC}">
              <c16:uniqueId val="{00000000-B151-4B81-AFA1-832AC1E01096}"/>
            </c:ext>
          </c:extLst>
        </c:ser>
        <c:dLbls>
          <c:showLegendKey val="0"/>
          <c:showVal val="0"/>
          <c:showCatName val="0"/>
          <c:showSerName val="0"/>
          <c:showPercent val="0"/>
          <c:showBubbleSize val="0"/>
        </c:dLbls>
        <c:axId val="344463440"/>
        <c:axId val="344465008"/>
      </c:scatterChart>
      <c:valAx>
        <c:axId val="344463440"/>
        <c:scaling>
          <c:orientation val="minMax"/>
        </c:scaling>
        <c:delete val="0"/>
        <c:axPos val="b"/>
        <c:majorGridlines/>
        <c:minorGridlines/>
        <c:title>
          <c:tx>
            <c:rich>
              <a:bodyPr/>
              <a:lstStyle/>
              <a:p>
                <a:pPr>
                  <a:defRPr sz="1200" b="1" i="0" u="none" strike="noStrike" baseline="0">
                    <a:solidFill>
                      <a:srgbClr val="000000"/>
                    </a:solidFill>
                    <a:latin typeface="Arial"/>
                    <a:ea typeface="Arial"/>
                    <a:cs typeface="Arial"/>
                  </a:defRPr>
                </a:pPr>
                <a:r>
                  <a:rPr lang="en-US"/>
                  <a:t>X Axis</a:t>
                </a:r>
              </a:p>
            </c:rich>
          </c:tx>
          <c:layout>
            <c:manualLayout>
              <c:xMode val="edge"/>
              <c:yMode val="edge"/>
              <c:x val="0.36065670001040623"/>
              <c:y val="0.90643447405441724"/>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44465008"/>
        <c:crosses val="autoZero"/>
        <c:crossBetween val="midCat"/>
      </c:valAx>
      <c:valAx>
        <c:axId val="344465008"/>
        <c:scaling>
          <c:orientation val="minMax"/>
        </c:scaling>
        <c:delete val="0"/>
        <c:axPos val="l"/>
        <c:majorGridlines/>
        <c:minorGridlines/>
        <c:title>
          <c:tx>
            <c:rich>
              <a:bodyPr/>
              <a:lstStyle/>
              <a:p>
                <a:pPr>
                  <a:defRPr sz="1200" b="1" i="0" u="none" strike="noStrike" baseline="0">
                    <a:solidFill>
                      <a:srgbClr val="000000"/>
                    </a:solidFill>
                    <a:latin typeface="Arial"/>
                    <a:ea typeface="Arial"/>
                    <a:cs typeface="Arial"/>
                  </a:defRPr>
                </a:pPr>
                <a:r>
                  <a:rPr lang="en-US"/>
                  <a:t>Y Axis
</a:t>
                </a:r>
              </a:p>
            </c:rich>
          </c:tx>
          <c:layout>
            <c:manualLayout>
              <c:xMode val="edge"/>
              <c:yMode val="edge"/>
              <c:x val="2.8072376193378889E-3"/>
              <c:y val="0.4465505110235226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44463440"/>
        <c:crosses val="autoZero"/>
        <c:crossBetween val="midCat"/>
      </c:valAx>
      <c:spPr>
        <a:noFill/>
        <a:ln w="25400">
          <a:noFill/>
        </a:ln>
      </c:spPr>
    </c:plotArea>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44" r="0.75000000000000044"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SCHEMATIC</a:t>
            </a:r>
          </a:p>
        </c:rich>
      </c:tx>
      <c:layout>
        <c:manualLayout>
          <c:xMode val="edge"/>
          <c:yMode val="edge"/>
          <c:x val="0.70744785215887884"/>
          <c:y val="1.2241470769445128E-2"/>
        </c:manualLayout>
      </c:layout>
      <c:overlay val="0"/>
      <c:spPr>
        <a:noFill/>
        <a:ln w="25400">
          <a:noFill/>
        </a:ln>
      </c:spPr>
    </c:title>
    <c:autoTitleDeleted val="0"/>
    <c:plotArea>
      <c:layout>
        <c:manualLayout>
          <c:layoutTarget val="inner"/>
          <c:xMode val="edge"/>
          <c:yMode val="edge"/>
          <c:x val="0.19269194452279068"/>
          <c:y val="2.0231530730582582E-2"/>
          <c:w val="0.67035727862459782"/>
          <c:h val="0.79364655190626809"/>
        </c:manualLayout>
      </c:layout>
      <c:scatterChart>
        <c:scatterStyle val="lineMarker"/>
        <c:varyColors val="0"/>
        <c:ser>
          <c:idx val="0"/>
          <c:order val="0"/>
          <c:spPr>
            <a:ln w="12700">
              <a:solidFill>
                <a:srgbClr val="000080"/>
              </a:solidFill>
              <a:prstDash val="solid"/>
            </a:ln>
          </c:spPr>
          <c:marker>
            <c:symbol val="dot"/>
            <c:size val="2"/>
            <c:spPr>
              <a:solidFill>
                <a:srgbClr val="000080"/>
              </a:solidFill>
              <a:ln>
                <a:solidFill>
                  <a:srgbClr val="000080"/>
                </a:solidFill>
                <a:prstDash val="solid"/>
              </a:ln>
            </c:spPr>
          </c:marker>
          <c:xVal>
            <c:numRef>
              <c:f>'Girder Property'!$A$446:$A$464</c:f>
              <c:numCache>
                <c:formatCode>General</c:formatCode>
                <c:ptCount val="19"/>
                <c:pt idx="0">
                  <c:v>0</c:v>
                </c:pt>
                <c:pt idx="1">
                  <c:v>35</c:v>
                </c:pt>
                <c:pt idx="2">
                  <c:v>35</c:v>
                </c:pt>
                <c:pt idx="3">
                  <c:v>15</c:v>
                </c:pt>
                <c:pt idx="4">
                  <c:v>15</c:v>
                </c:pt>
                <c:pt idx="5">
                  <c:v>35</c:v>
                </c:pt>
                <c:pt idx="6">
                  <c:v>35</c:v>
                </c:pt>
                <c:pt idx="7">
                  <c:v>120</c:v>
                </c:pt>
                <c:pt idx="8">
                  <c:v>120</c:v>
                </c:pt>
                <c:pt idx="9">
                  <c:v>-120</c:v>
                </c:pt>
                <c:pt idx="10">
                  <c:v>-120</c:v>
                </c:pt>
                <c:pt idx="11">
                  <c:v>-120</c:v>
                </c:pt>
                <c:pt idx="12">
                  <c:v>-35</c:v>
                </c:pt>
                <c:pt idx="13">
                  <c:v>-35</c:v>
                </c:pt>
                <c:pt idx="14">
                  <c:v>-15</c:v>
                </c:pt>
                <c:pt idx="15">
                  <c:v>-15</c:v>
                </c:pt>
                <c:pt idx="16">
                  <c:v>-35</c:v>
                </c:pt>
                <c:pt idx="17">
                  <c:v>-35</c:v>
                </c:pt>
                <c:pt idx="18">
                  <c:v>0</c:v>
                </c:pt>
              </c:numCache>
            </c:numRef>
          </c:xVal>
          <c:yVal>
            <c:numRef>
              <c:f>'Girder Property'!$B$446:$B$464</c:f>
              <c:numCache>
                <c:formatCode>General</c:formatCode>
                <c:ptCount val="19"/>
                <c:pt idx="0">
                  <c:v>0</c:v>
                </c:pt>
                <c:pt idx="1">
                  <c:v>0</c:v>
                </c:pt>
                <c:pt idx="2">
                  <c:v>25</c:v>
                </c:pt>
                <c:pt idx="3">
                  <c:v>40</c:v>
                </c:pt>
                <c:pt idx="4">
                  <c:v>150</c:v>
                </c:pt>
                <c:pt idx="5">
                  <c:v>165</c:v>
                </c:pt>
                <c:pt idx="6">
                  <c:v>180</c:v>
                </c:pt>
                <c:pt idx="7">
                  <c:v>180</c:v>
                </c:pt>
                <c:pt idx="8" formatCode="0.0">
                  <c:v>205</c:v>
                </c:pt>
                <c:pt idx="9" formatCode="0.0">
                  <c:v>205</c:v>
                </c:pt>
                <c:pt idx="10" formatCode="0.0">
                  <c:v>180</c:v>
                </c:pt>
                <c:pt idx="11">
                  <c:v>180</c:v>
                </c:pt>
                <c:pt idx="12">
                  <c:v>180</c:v>
                </c:pt>
                <c:pt idx="13">
                  <c:v>165</c:v>
                </c:pt>
                <c:pt idx="14">
                  <c:v>150</c:v>
                </c:pt>
                <c:pt idx="15">
                  <c:v>40</c:v>
                </c:pt>
                <c:pt idx="16">
                  <c:v>25</c:v>
                </c:pt>
                <c:pt idx="17">
                  <c:v>0</c:v>
                </c:pt>
                <c:pt idx="18">
                  <c:v>0</c:v>
                </c:pt>
              </c:numCache>
            </c:numRef>
          </c:yVal>
          <c:smooth val="0"/>
          <c:extLst>
            <c:ext xmlns:c16="http://schemas.microsoft.com/office/drawing/2014/chart" uri="{C3380CC4-5D6E-409C-BE32-E72D297353CC}">
              <c16:uniqueId val="{00000000-9EEB-418C-BB26-89778DBE1E85}"/>
            </c:ext>
          </c:extLst>
        </c:ser>
        <c:dLbls>
          <c:showLegendKey val="0"/>
          <c:showVal val="0"/>
          <c:showCatName val="0"/>
          <c:showSerName val="0"/>
          <c:showPercent val="0"/>
          <c:showBubbleSize val="0"/>
        </c:dLbls>
        <c:axId val="344463832"/>
        <c:axId val="344463048"/>
      </c:scatterChart>
      <c:valAx>
        <c:axId val="344463832"/>
        <c:scaling>
          <c:orientation val="minMax"/>
        </c:scaling>
        <c:delete val="0"/>
        <c:axPos val="b"/>
        <c:majorGridlines/>
        <c:minorGridlines/>
        <c:title>
          <c:tx>
            <c:rich>
              <a:bodyPr/>
              <a:lstStyle/>
              <a:p>
                <a:pPr>
                  <a:defRPr sz="1200" b="1" i="0" u="none" strike="noStrike" baseline="0">
                    <a:solidFill>
                      <a:srgbClr val="000000"/>
                    </a:solidFill>
                    <a:latin typeface="Arial"/>
                    <a:ea typeface="Arial"/>
                    <a:cs typeface="Arial"/>
                  </a:defRPr>
                </a:pPr>
                <a:r>
                  <a:rPr lang="en-US"/>
                  <a:t>X Axis</a:t>
                </a:r>
              </a:p>
            </c:rich>
          </c:tx>
          <c:layout>
            <c:manualLayout>
              <c:xMode val="edge"/>
              <c:yMode val="edge"/>
              <c:x val="0.36065670001040623"/>
              <c:y val="0.90643447405441724"/>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44463048"/>
        <c:crosses val="autoZero"/>
        <c:crossBetween val="midCat"/>
      </c:valAx>
      <c:valAx>
        <c:axId val="344463048"/>
        <c:scaling>
          <c:orientation val="minMax"/>
        </c:scaling>
        <c:delete val="0"/>
        <c:axPos val="l"/>
        <c:majorGridlines/>
        <c:minorGridlines/>
        <c:title>
          <c:tx>
            <c:rich>
              <a:bodyPr/>
              <a:lstStyle/>
              <a:p>
                <a:pPr>
                  <a:defRPr sz="1200" b="1" i="0" u="none" strike="noStrike" baseline="0">
                    <a:solidFill>
                      <a:srgbClr val="000000"/>
                    </a:solidFill>
                    <a:latin typeface="Arial"/>
                    <a:ea typeface="Arial"/>
                    <a:cs typeface="Arial"/>
                  </a:defRPr>
                </a:pPr>
                <a:r>
                  <a:rPr lang="en-US"/>
                  <a:t>Y Axis
</a:t>
                </a:r>
              </a:p>
            </c:rich>
          </c:tx>
          <c:layout>
            <c:manualLayout>
              <c:xMode val="edge"/>
              <c:yMode val="edge"/>
              <c:x val="1.9125734091460945E-2"/>
              <c:y val="0.39766157571419636"/>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44463832"/>
        <c:crosses val="autoZero"/>
        <c:crossBetween val="midCat"/>
      </c:valAx>
      <c:spPr>
        <a:noFill/>
        <a:ln w="25400">
          <a:noFill/>
        </a:ln>
      </c:spPr>
    </c:plotArea>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44" r="0.75000000000000044"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SCHEMATIC</a:t>
            </a:r>
          </a:p>
        </c:rich>
      </c:tx>
      <c:layout>
        <c:manualLayout>
          <c:xMode val="edge"/>
          <c:yMode val="edge"/>
          <c:x val="0.53258720168325058"/>
          <c:y val="1.9493403287649719E-2"/>
        </c:manualLayout>
      </c:layout>
      <c:overlay val="0"/>
      <c:spPr>
        <a:noFill/>
        <a:ln w="25400">
          <a:noFill/>
        </a:ln>
      </c:spPr>
    </c:title>
    <c:autoTitleDeleted val="0"/>
    <c:plotArea>
      <c:layout>
        <c:manualLayout>
          <c:layoutTarget val="inner"/>
          <c:xMode val="edge"/>
          <c:yMode val="edge"/>
          <c:x val="0.14869449540758578"/>
          <c:y val="3.6038315546683901E-2"/>
          <c:w val="0.67734660731378693"/>
          <c:h val="0.79727247287797132"/>
        </c:manualLayout>
      </c:layout>
      <c:scatterChart>
        <c:scatterStyle val="lineMarker"/>
        <c:varyColors val="0"/>
        <c:ser>
          <c:idx val="0"/>
          <c:order val="0"/>
          <c:spPr>
            <a:ln w="9525">
              <a:solidFill>
                <a:srgbClr val="000080"/>
              </a:solidFill>
              <a:prstDash val="solid"/>
            </a:ln>
          </c:spPr>
          <c:marker>
            <c:symbol val="dot"/>
            <c:size val="2"/>
            <c:spPr>
              <a:solidFill>
                <a:srgbClr val="000080"/>
              </a:solidFill>
              <a:ln>
                <a:solidFill>
                  <a:srgbClr val="000080"/>
                </a:solidFill>
                <a:prstDash val="solid"/>
              </a:ln>
            </c:spPr>
          </c:marker>
          <c:xVal>
            <c:numRef>
              <c:f>'Girder Property'!$A$144:$A$156</c:f>
              <c:numCache>
                <c:formatCode>General</c:formatCode>
                <c:ptCount val="13"/>
                <c:pt idx="0">
                  <c:v>0</c:v>
                </c:pt>
                <c:pt idx="1">
                  <c:v>35</c:v>
                </c:pt>
                <c:pt idx="2">
                  <c:v>35</c:v>
                </c:pt>
                <c:pt idx="3">
                  <c:v>35</c:v>
                </c:pt>
                <c:pt idx="4">
                  <c:v>35</c:v>
                </c:pt>
                <c:pt idx="5">
                  <c:v>35</c:v>
                </c:pt>
                <c:pt idx="6">
                  <c:v>35</c:v>
                </c:pt>
                <c:pt idx="7">
                  <c:v>-35</c:v>
                </c:pt>
                <c:pt idx="8">
                  <c:v>-35</c:v>
                </c:pt>
                <c:pt idx="9">
                  <c:v>-35</c:v>
                </c:pt>
                <c:pt idx="10">
                  <c:v>-35</c:v>
                </c:pt>
                <c:pt idx="11">
                  <c:v>-35</c:v>
                </c:pt>
                <c:pt idx="12">
                  <c:v>-35</c:v>
                </c:pt>
              </c:numCache>
            </c:numRef>
          </c:xVal>
          <c:yVal>
            <c:numRef>
              <c:f>'Girder Property'!$B$144:$B$156</c:f>
              <c:numCache>
                <c:formatCode>General</c:formatCode>
                <c:ptCount val="13"/>
                <c:pt idx="0">
                  <c:v>0</c:v>
                </c:pt>
                <c:pt idx="1">
                  <c:v>0</c:v>
                </c:pt>
                <c:pt idx="2">
                  <c:v>25</c:v>
                </c:pt>
                <c:pt idx="3">
                  <c:v>40</c:v>
                </c:pt>
                <c:pt idx="4">
                  <c:v>150</c:v>
                </c:pt>
                <c:pt idx="5">
                  <c:v>165</c:v>
                </c:pt>
                <c:pt idx="6">
                  <c:v>180</c:v>
                </c:pt>
                <c:pt idx="7">
                  <c:v>180</c:v>
                </c:pt>
                <c:pt idx="8">
                  <c:v>165</c:v>
                </c:pt>
                <c:pt idx="9">
                  <c:v>150</c:v>
                </c:pt>
                <c:pt idx="10">
                  <c:v>40</c:v>
                </c:pt>
                <c:pt idx="11">
                  <c:v>25</c:v>
                </c:pt>
                <c:pt idx="12">
                  <c:v>0</c:v>
                </c:pt>
              </c:numCache>
            </c:numRef>
          </c:yVal>
          <c:smooth val="0"/>
          <c:extLst>
            <c:ext xmlns:c16="http://schemas.microsoft.com/office/drawing/2014/chart" uri="{C3380CC4-5D6E-409C-BE32-E72D297353CC}">
              <c16:uniqueId val="{00000000-07CD-41C2-960A-74B49CACE7C4}"/>
            </c:ext>
          </c:extLst>
        </c:ser>
        <c:dLbls>
          <c:showLegendKey val="0"/>
          <c:showVal val="0"/>
          <c:showCatName val="0"/>
          <c:showSerName val="0"/>
          <c:showPercent val="0"/>
          <c:showBubbleSize val="0"/>
        </c:dLbls>
        <c:axId val="344465792"/>
        <c:axId val="344465400"/>
      </c:scatterChart>
      <c:valAx>
        <c:axId val="344465792"/>
        <c:scaling>
          <c:orientation val="minMax"/>
        </c:scaling>
        <c:delete val="0"/>
        <c:axPos val="b"/>
        <c:majorGridlines/>
        <c:minorGridlines/>
        <c:title>
          <c:tx>
            <c:rich>
              <a:bodyPr/>
              <a:lstStyle/>
              <a:p>
                <a:pPr>
                  <a:defRPr sz="1200" b="1" i="0" u="none" strike="noStrike" baseline="0">
                    <a:solidFill>
                      <a:srgbClr val="000000"/>
                    </a:solidFill>
                    <a:latin typeface="Arial"/>
                    <a:ea typeface="Arial"/>
                    <a:cs typeface="Arial"/>
                  </a:defRPr>
                </a:pPr>
                <a:r>
                  <a:rPr lang="en-US"/>
                  <a:t>X Axis</a:t>
                </a:r>
              </a:p>
            </c:rich>
          </c:tx>
          <c:layout>
            <c:manualLayout>
              <c:xMode val="edge"/>
              <c:yMode val="edge"/>
              <c:x val="0.36065670001040639"/>
              <c:y val="0.90643447405441724"/>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44465400"/>
        <c:crosses val="autoZero"/>
        <c:crossBetween val="midCat"/>
      </c:valAx>
      <c:valAx>
        <c:axId val="344465400"/>
        <c:scaling>
          <c:orientation val="minMax"/>
        </c:scaling>
        <c:delete val="0"/>
        <c:axPos val="l"/>
        <c:majorGridlines/>
        <c:minorGridlines/>
        <c:title>
          <c:tx>
            <c:rich>
              <a:bodyPr/>
              <a:lstStyle/>
              <a:p>
                <a:pPr>
                  <a:defRPr sz="1200" b="1" i="0" u="none" strike="noStrike" baseline="0">
                    <a:solidFill>
                      <a:srgbClr val="000000"/>
                    </a:solidFill>
                    <a:latin typeface="Arial"/>
                    <a:ea typeface="Arial"/>
                    <a:cs typeface="Arial"/>
                  </a:defRPr>
                </a:pPr>
                <a:r>
                  <a:rPr lang="en-US"/>
                  <a:t>Y Axis
</a:t>
                </a:r>
              </a:p>
            </c:rich>
          </c:tx>
          <c:layout>
            <c:manualLayout>
              <c:xMode val="edge"/>
              <c:yMode val="edge"/>
              <c:x val="1.9125734091460952E-2"/>
              <c:y val="0.3976615757141964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44465792"/>
        <c:crosses val="autoZero"/>
        <c:crossBetween val="midCat"/>
      </c:valAx>
      <c:spPr>
        <a:noFill/>
        <a:ln w="25400">
          <a:noFill/>
        </a:ln>
      </c:spPr>
    </c:plotArea>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SCHEMATIC</a:t>
            </a:r>
          </a:p>
        </c:rich>
      </c:tx>
      <c:layout>
        <c:manualLayout>
          <c:xMode val="edge"/>
          <c:yMode val="edge"/>
          <c:x val="0.7074478521588794"/>
          <c:y val="1.2241470769445137E-2"/>
        </c:manualLayout>
      </c:layout>
      <c:overlay val="0"/>
      <c:spPr>
        <a:noFill/>
        <a:ln w="25400">
          <a:noFill/>
        </a:ln>
      </c:spPr>
    </c:title>
    <c:autoTitleDeleted val="0"/>
    <c:plotArea>
      <c:layout>
        <c:manualLayout>
          <c:layoutTarget val="inner"/>
          <c:xMode val="edge"/>
          <c:yMode val="edge"/>
          <c:x val="0.19269194452279076"/>
          <c:y val="2.0231530730582582E-2"/>
          <c:w val="0.67035727862459826"/>
          <c:h val="0.79364655190626787"/>
        </c:manualLayout>
      </c:layout>
      <c:scatterChart>
        <c:scatterStyle val="lineMarker"/>
        <c:varyColors val="0"/>
        <c:ser>
          <c:idx val="0"/>
          <c:order val="0"/>
          <c:spPr>
            <a:ln w="12700">
              <a:solidFill>
                <a:srgbClr val="000080"/>
              </a:solidFill>
              <a:prstDash val="solid"/>
            </a:ln>
          </c:spPr>
          <c:marker>
            <c:symbol val="dot"/>
            <c:size val="2"/>
            <c:spPr>
              <a:solidFill>
                <a:srgbClr val="000080"/>
              </a:solidFill>
              <a:ln>
                <a:solidFill>
                  <a:srgbClr val="000080"/>
                </a:solidFill>
                <a:prstDash val="solid"/>
              </a:ln>
            </c:spPr>
          </c:marker>
          <c:xVal>
            <c:numRef>
              <c:f>'Girder Property'!$A$367:$A$385</c:f>
              <c:numCache>
                <c:formatCode>General</c:formatCode>
                <c:ptCount val="19"/>
                <c:pt idx="0">
                  <c:v>0</c:v>
                </c:pt>
                <c:pt idx="1">
                  <c:v>35</c:v>
                </c:pt>
                <c:pt idx="2">
                  <c:v>35</c:v>
                </c:pt>
                <c:pt idx="3">
                  <c:v>35</c:v>
                </c:pt>
                <c:pt idx="4">
                  <c:v>35</c:v>
                </c:pt>
                <c:pt idx="5">
                  <c:v>35</c:v>
                </c:pt>
                <c:pt idx="6">
                  <c:v>35</c:v>
                </c:pt>
                <c:pt idx="7">
                  <c:v>120</c:v>
                </c:pt>
                <c:pt idx="8">
                  <c:v>120</c:v>
                </c:pt>
                <c:pt idx="9">
                  <c:v>-120</c:v>
                </c:pt>
                <c:pt idx="10">
                  <c:v>-120</c:v>
                </c:pt>
                <c:pt idx="11">
                  <c:v>-35</c:v>
                </c:pt>
                <c:pt idx="12">
                  <c:v>-35</c:v>
                </c:pt>
                <c:pt idx="13">
                  <c:v>-35</c:v>
                </c:pt>
                <c:pt idx="14">
                  <c:v>-35</c:v>
                </c:pt>
                <c:pt idx="15">
                  <c:v>-35</c:v>
                </c:pt>
                <c:pt idx="16">
                  <c:v>-35</c:v>
                </c:pt>
                <c:pt idx="17">
                  <c:v>0</c:v>
                </c:pt>
                <c:pt idx="18">
                  <c:v>0</c:v>
                </c:pt>
              </c:numCache>
            </c:numRef>
          </c:xVal>
          <c:yVal>
            <c:numRef>
              <c:f>'Girder Property'!$B$367:$B$385</c:f>
              <c:numCache>
                <c:formatCode>General</c:formatCode>
                <c:ptCount val="19"/>
                <c:pt idx="0">
                  <c:v>0</c:v>
                </c:pt>
                <c:pt idx="1">
                  <c:v>0</c:v>
                </c:pt>
                <c:pt idx="2">
                  <c:v>25</c:v>
                </c:pt>
                <c:pt idx="3">
                  <c:v>40</c:v>
                </c:pt>
                <c:pt idx="4">
                  <c:v>150</c:v>
                </c:pt>
                <c:pt idx="5">
                  <c:v>165</c:v>
                </c:pt>
                <c:pt idx="6">
                  <c:v>180</c:v>
                </c:pt>
                <c:pt idx="7">
                  <c:v>180</c:v>
                </c:pt>
                <c:pt idx="8">
                  <c:v>205</c:v>
                </c:pt>
                <c:pt idx="9">
                  <c:v>205</c:v>
                </c:pt>
                <c:pt idx="10">
                  <c:v>180</c:v>
                </c:pt>
                <c:pt idx="11">
                  <c:v>180</c:v>
                </c:pt>
                <c:pt idx="12">
                  <c:v>165</c:v>
                </c:pt>
                <c:pt idx="13">
                  <c:v>150</c:v>
                </c:pt>
                <c:pt idx="14">
                  <c:v>40</c:v>
                </c:pt>
                <c:pt idx="15">
                  <c:v>25</c:v>
                </c:pt>
                <c:pt idx="16">
                  <c:v>0</c:v>
                </c:pt>
                <c:pt idx="17">
                  <c:v>0</c:v>
                </c:pt>
                <c:pt idx="18">
                  <c:v>0</c:v>
                </c:pt>
              </c:numCache>
            </c:numRef>
          </c:yVal>
          <c:smooth val="0"/>
          <c:extLst>
            <c:ext xmlns:c16="http://schemas.microsoft.com/office/drawing/2014/chart" uri="{C3380CC4-5D6E-409C-BE32-E72D297353CC}">
              <c16:uniqueId val="{00000000-74B9-49B1-8E77-D5994F765C95}"/>
            </c:ext>
          </c:extLst>
        </c:ser>
        <c:dLbls>
          <c:showLegendKey val="0"/>
          <c:showVal val="0"/>
          <c:showCatName val="0"/>
          <c:showSerName val="0"/>
          <c:showPercent val="0"/>
          <c:showBubbleSize val="0"/>
        </c:dLbls>
        <c:axId val="344466576"/>
        <c:axId val="339821200"/>
      </c:scatterChart>
      <c:valAx>
        <c:axId val="344466576"/>
        <c:scaling>
          <c:orientation val="minMax"/>
        </c:scaling>
        <c:delete val="0"/>
        <c:axPos val="b"/>
        <c:majorGridlines/>
        <c:minorGridlines/>
        <c:title>
          <c:tx>
            <c:rich>
              <a:bodyPr/>
              <a:lstStyle/>
              <a:p>
                <a:pPr>
                  <a:defRPr sz="1200" b="1" i="0" u="none" strike="noStrike" baseline="0">
                    <a:solidFill>
                      <a:srgbClr val="000000"/>
                    </a:solidFill>
                    <a:latin typeface="Arial"/>
                    <a:ea typeface="Arial"/>
                    <a:cs typeface="Arial"/>
                  </a:defRPr>
                </a:pPr>
                <a:r>
                  <a:rPr lang="en-US"/>
                  <a:t>X Axis</a:t>
                </a:r>
              </a:p>
            </c:rich>
          </c:tx>
          <c:layout>
            <c:manualLayout>
              <c:xMode val="edge"/>
              <c:yMode val="edge"/>
              <c:x val="0.36065670001040639"/>
              <c:y val="0.90643447405441724"/>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39821200"/>
        <c:crosses val="autoZero"/>
        <c:crossBetween val="midCat"/>
      </c:valAx>
      <c:valAx>
        <c:axId val="339821200"/>
        <c:scaling>
          <c:orientation val="minMax"/>
        </c:scaling>
        <c:delete val="0"/>
        <c:axPos val="l"/>
        <c:majorGridlines/>
        <c:minorGridlines/>
        <c:title>
          <c:tx>
            <c:rich>
              <a:bodyPr/>
              <a:lstStyle/>
              <a:p>
                <a:pPr>
                  <a:defRPr sz="1200" b="1" i="0" u="none" strike="noStrike" baseline="0">
                    <a:solidFill>
                      <a:srgbClr val="000000"/>
                    </a:solidFill>
                    <a:latin typeface="Arial"/>
                    <a:ea typeface="Arial"/>
                    <a:cs typeface="Arial"/>
                  </a:defRPr>
                </a:pPr>
                <a:r>
                  <a:rPr lang="en-US"/>
                  <a:t>Y Axis
</a:t>
                </a:r>
              </a:p>
            </c:rich>
          </c:tx>
          <c:layout>
            <c:manualLayout>
              <c:xMode val="edge"/>
              <c:yMode val="edge"/>
              <c:x val="1.9125734091460952E-2"/>
              <c:y val="0.3976615757141964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44466576"/>
        <c:crosses val="autoZero"/>
        <c:crossBetween val="midCat"/>
      </c:valAx>
      <c:spPr>
        <a:noFill/>
        <a:ln w="25400">
          <a:noFill/>
        </a:ln>
      </c:spPr>
    </c:plotArea>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78" r="0.75000000000000078"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6997594050743652E-2"/>
          <c:y val="9.481481481481481E-2"/>
          <c:w val="0.8585579615048119"/>
          <c:h val="0.79734359871682703"/>
        </c:manualLayout>
      </c:layout>
      <c:lineChart>
        <c:grouping val="standard"/>
        <c:varyColors val="0"/>
        <c:ser>
          <c:idx val="0"/>
          <c:order val="0"/>
          <c:tx>
            <c:strRef>
              <c:f>'Girder Property'!$D$509</c:f>
              <c:strCache>
                <c:ptCount val="1"/>
                <c:pt idx="0">
                  <c:v>Lower limit </c:v>
                </c:pt>
              </c:strCache>
            </c:strRef>
          </c:tx>
          <c:spPr>
            <a:ln w="28575" cap="rnd">
              <a:solidFill>
                <a:schemeClr val="accent1"/>
              </a:solidFill>
              <a:round/>
            </a:ln>
            <a:effectLst/>
          </c:spPr>
          <c:marker>
            <c:symbol val="none"/>
          </c:marker>
          <c:cat>
            <c:numRef>
              <c:f>'Girder Property'!$E$508:$I$508</c:f>
              <c:numCache>
                <c:formatCode>0.000</c:formatCode>
                <c:ptCount val="5"/>
                <c:pt idx="0">
                  <c:v>15</c:v>
                </c:pt>
                <c:pt idx="1">
                  <c:v>10</c:v>
                </c:pt>
                <c:pt idx="2">
                  <c:v>5</c:v>
                </c:pt>
                <c:pt idx="3">
                  <c:v>0</c:v>
                </c:pt>
                <c:pt idx="4">
                  <c:v>15</c:v>
                </c:pt>
              </c:numCache>
            </c:numRef>
          </c:cat>
          <c:val>
            <c:numRef>
              <c:f>'Girder Property'!$E$509:$I$509</c:f>
              <c:numCache>
                <c:formatCode>0.00</c:formatCode>
                <c:ptCount val="5"/>
                <c:pt idx="0">
                  <c:v>42.62279898107424</c:v>
                </c:pt>
                <c:pt idx="1">
                  <c:v>31.71486978827901</c:v>
                </c:pt>
                <c:pt idx="2">
                  <c:v>25.139390306396034</c:v>
                </c:pt>
                <c:pt idx="3">
                  <c:v>22.88142624629748</c:v>
                </c:pt>
                <c:pt idx="4">
                  <c:v>42.62279898107424</c:v>
                </c:pt>
              </c:numCache>
            </c:numRef>
          </c:val>
          <c:smooth val="0"/>
          <c:extLst>
            <c:ext xmlns:c16="http://schemas.microsoft.com/office/drawing/2014/chart" uri="{C3380CC4-5D6E-409C-BE32-E72D297353CC}">
              <c16:uniqueId val="{00000000-3528-40E2-B128-E495ACB58147}"/>
            </c:ext>
          </c:extLst>
        </c:ser>
        <c:ser>
          <c:idx val="1"/>
          <c:order val="1"/>
          <c:tx>
            <c:strRef>
              <c:f>'Girder Property'!$D$510</c:f>
              <c:strCache>
                <c:ptCount val="1"/>
                <c:pt idx="0">
                  <c:v>Upper limit </c:v>
                </c:pt>
              </c:strCache>
            </c:strRef>
          </c:tx>
          <c:spPr>
            <a:ln w="28575" cap="rnd">
              <a:solidFill>
                <a:schemeClr val="accent2"/>
              </a:solidFill>
              <a:round/>
            </a:ln>
            <a:effectLst/>
          </c:spPr>
          <c:marker>
            <c:symbol val="none"/>
          </c:marker>
          <c:val>
            <c:numRef>
              <c:f>'Girder Property'!$E$510:$I$510</c:f>
              <c:numCache>
                <c:formatCode>0.00</c:formatCode>
                <c:ptCount val="5"/>
                <c:pt idx="0">
                  <c:v>135.21787246404625</c:v>
                </c:pt>
                <c:pt idx="1">
                  <c:v>98.140790285081721</c:v>
                </c:pt>
                <c:pt idx="2">
                  <c:v>75.12003484550101</c:v>
                </c:pt>
                <c:pt idx="3">
                  <c:v>67.031294341729662</c:v>
                </c:pt>
                <c:pt idx="4">
                  <c:v>135.21787246404625</c:v>
                </c:pt>
              </c:numCache>
            </c:numRef>
          </c:val>
          <c:smooth val="0"/>
          <c:extLst>
            <c:ext xmlns:c16="http://schemas.microsoft.com/office/drawing/2014/chart" uri="{C3380CC4-5D6E-409C-BE32-E72D297353CC}">
              <c16:uniqueId val="{00000001-3528-40E2-B128-E495ACB58147}"/>
            </c:ext>
          </c:extLst>
        </c:ser>
        <c:ser>
          <c:idx val="2"/>
          <c:order val="2"/>
          <c:tx>
            <c:strRef>
              <c:f>'Girder Property'!$D$511</c:f>
              <c:strCache>
                <c:ptCount val="1"/>
                <c:pt idx="0">
                  <c:v>provided</c:v>
                </c:pt>
              </c:strCache>
            </c:strRef>
          </c:tx>
          <c:spPr>
            <a:ln w="28575" cap="rnd">
              <a:solidFill>
                <a:schemeClr val="accent3"/>
              </a:solidFill>
              <a:round/>
            </a:ln>
            <a:effectLst/>
          </c:spPr>
          <c:marker>
            <c:symbol val="none"/>
          </c:marker>
          <c:val>
            <c:numRef>
              <c:f>'Girder Property'!$E$511:$I$511</c:f>
              <c:numCache>
                <c:formatCode>0.00</c:formatCode>
                <c:ptCount val="5"/>
                <c:pt idx="0">
                  <c:v>88.058439061899264</c:v>
                </c:pt>
                <c:pt idx="1">
                  <c:v>61.359306249733002</c:v>
                </c:pt>
                <c:pt idx="2">
                  <c:v>45.339826562433252</c:v>
                </c:pt>
                <c:pt idx="3">
                  <c:v>40</c:v>
                </c:pt>
                <c:pt idx="4">
                  <c:v>88.058439061899264</c:v>
                </c:pt>
              </c:numCache>
            </c:numRef>
          </c:val>
          <c:smooth val="0"/>
          <c:extLst>
            <c:ext xmlns:c16="http://schemas.microsoft.com/office/drawing/2014/chart" uri="{C3380CC4-5D6E-409C-BE32-E72D297353CC}">
              <c16:uniqueId val="{00000002-3528-40E2-B128-E495ACB58147}"/>
            </c:ext>
          </c:extLst>
        </c:ser>
        <c:dLbls>
          <c:showLegendKey val="0"/>
          <c:showVal val="0"/>
          <c:showCatName val="0"/>
          <c:showSerName val="0"/>
          <c:showPercent val="0"/>
          <c:showBubbleSize val="0"/>
        </c:dLbls>
        <c:smooth val="0"/>
        <c:axId val="339821984"/>
        <c:axId val="339821592"/>
      </c:lineChart>
      <c:catAx>
        <c:axId val="339821984"/>
        <c:scaling>
          <c:orientation val="minMax"/>
        </c:scaling>
        <c:delete val="0"/>
        <c:axPos val="b"/>
        <c:numFmt formatCode="0.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9821592"/>
        <c:crosses val="autoZero"/>
        <c:auto val="1"/>
        <c:lblAlgn val="ctr"/>
        <c:lblOffset val="100"/>
        <c:noMultiLvlLbl val="0"/>
      </c:catAx>
      <c:valAx>
        <c:axId val="339821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9821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SCHEMATIC</a:t>
            </a:r>
          </a:p>
        </c:rich>
      </c:tx>
      <c:layout>
        <c:manualLayout>
          <c:xMode val="edge"/>
          <c:yMode val="edge"/>
          <c:x val="0.71419569103641356"/>
          <c:y val="0.11056976285044015"/>
        </c:manualLayout>
      </c:layout>
      <c:overlay val="0"/>
      <c:spPr>
        <a:solidFill>
          <a:sysClr val="window" lastClr="FFFFFF"/>
        </a:solidFill>
        <a:ln w="25400">
          <a:noFill/>
        </a:ln>
      </c:spPr>
    </c:title>
    <c:autoTitleDeleted val="0"/>
    <c:plotArea>
      <c:layout>
        <c:manualLayout>
          <c:layoutTarget val="inner"/>
          <c:xMode val="edge"/>
          <c:yMode val="edge"/>
          <c:x val="0.19269194452279068"/>
          <c:y val="2.0231530730582582E-2"/>
          <c:w val="0.67035727862459782"/>
          <c:h val="0.79364655190626809"/>
        </c:manualLayout>
      </c:layout>
      <c:scatterChart>
        <c:scatterStyle val="lineMarker"/>
        <c:varyColors val="0"/>
        <c:ser>
          <c:idx val="0"/>
          <c:order val="0"/>
          <c:spPr>
            <a:ln w="12700">
              <a:solidFill>
                <a:srgbClr val="000080"/>
              </a:solidFill>
              <a:prstDash val="solid"/>
            </a:ln>
          </c:spPr>
          <c:marker>
            <c:symbol val="dot"/>
            <c:size val="2"/>
            <c:spPr>
              <a:solidFill>
                <a:srgbClr val="000080"/>
              </a:solidFill>
              <a:ln>
                <a:solidFill>
                  <a:srgbClr val="000080"/>
                </a:solidFill>
                <a:prstDash val="solid"/>
              </a:ln>
            </c:spPr>
          </c:marker>
          <c:xVal>
            <c:numRef>
              <c:f>'Design Girder'!$A$315:$A$333</c:f>
              <c:numCache>
                <c:formatCode>General</c:formatCode>
                <c:ptCount val="11"/>
                <c:pt idx="0">
                  <c:v>0</c:v>
                </c:pt>
                <c:pt idx="1">
                  <c:v>240</c:v>
                </c:pt>
                <c:pt idx="2">
                  <c:v>240</c:v>
                </c:pt>
                <c:pt idx="3">
                  <c:v>140</c:v>
                </c:pt>
                <c:pt idx="4">
                  <c:v>135</c:v>
                </c:pt>
                <c:pt idx="5">
                  <c:v>135</c:v>
                </c:pt>
                <c:pt idx="6">
                  <c:v>105</c:v>
                </c:pt>
                <c:pt idx="7">
                  <c:v>105</c:v>
                </c:pt>
                <c:pt idx="8">
                  <c:v>100</c:v>
                </c:pt>
                <c:pt idx="9">
                  <c:v>0</c:v>
                </c:pt>
                <c:pt idx="10" formatCode="0">
                  <c:v>0</c:v>
                </c:pt>
              </c:numCache>
            </c:numRef>
          </c:xVal>
          <c:yVal>
            <c:numRef>
              <c:f>'Design Girder'!$B$315:$B$333</c:f>
              <c:numCache>
                <c:formatCode>0</c:formatCode>
                <c:ptCount val="11"/>
                <c:pt idx="0">
                  <c:v>0</c:v>
                </c:pt>
                <c:pt idx="1">
                  <c:v>0</c:v>
                </c:pt>
                <c:pt idx="2">
                  <c:v>-25</c:v>
                </c:pt>
                <c:pt idx="3">
                  <c:v>-25</c:v>
                </c:pt>
                <c:pt idx="4">
                  <c:v>-30</c:v>
                </c:pt>
                <c:pt idx="5">
                  <c:v>-205</c:v>
                </c:pt>
                <c:pt idx="6">
                  <c:v>-205</c:v>
                </c:pt>
                <c:pt idx="7">
                  <c:v>-30</c:v>
                </c:pt>
                <c:pt idx="8">
                  <c:v>-25</c:v>
                </c:pt>
                <c:pt idx="9" formatCode="0.0">
                  <c:v>-25</c:v>
                </c:pt>
                <c:pt idx="10">
                  <c:v>0</c:v>
                </c:pt>
              </c:numCache>
            </c:numRef>
          </c:yVal>
          <c:smooth val="0"/>
          <c:extLst>
            <c:ext xmlns:c16="http://schemas.microsoft.com/office/drawing/2014/chart" uri="{C3380CC4-5D6E-409C-BE32-E72D297353CC}">
              <c16:uniqueId val="{00000000-D1E7-4A87-8F0E-EF807BB5676F}"/>
            </c:ext>
          </c:extLst>
        </c:ser>
        <c:dLbls>
          <c:showLegendKey val="0"/>
          <c:showVal val="0"/>
          <c:showCatName val="0"/>
          <c:showSerName val="0"/>
          <c:showPercent val="0"/>
          <c:showBubbleSize val="0"/>
        </c:dLbls>
        <c:axId val="339819632"/>
        <c:axId val="262190912"/>
      </c:scatterChart>
      <c:valAx>
        <c:axId val="339819632"/>
        <c:scaling>
          <c:orientation val="minMax"/>
        </c:scaling>
        <c:delete val="0"/>
        <c:axPos val="b"/>
        <c:majorGridlines/>
        <c:minorGridlines/>
        <c:title>
          <c:tx>
            <c:rich>
              <a:bodyPr/>
              <a:lstStyle/>
              <a:p>
                <a:pPr>
                  <a:defRPr sz="1200" b="1" i="0" u="none" strike="noStrike" baseline="0">
                    <a:solidFill>
                      <a:srgbClr val="000000"/>
                    </a:solidFill>
                    <a:latin typeface="Arial"/>
                    <a:ea typeface="Arial"/>
                    <a:cs typeface="Arial"/>
                  </a:defRPr>
                </a:pPr>
                <a:r>
                  <a:rPr lang="en-US"/>
                  <a:t>X Axis</a:t>
                </a:r>
              </a:p>
            </c:rich>
          </c:tx>
          <c:layout>
            <c:manualLayout>
              <c:xMode val="edge"/>
              <c:yMode val="edge"/>
              <c:x val="0.36065670001040623"/>
              <c:y val="0.90643447405441724"/>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62190912"/>
        <c:crosses val="autoZero"/>
        <c:crossBetween val="midCat"/>
      </c:valAx>
      <c:valAx>
        <c:axId val="262190912"/>
        <c:scaling>
          <c:orientation val="minMax"/>
        </c:scaling>
        <c:delete val="0"/>
        <c:axPos val="l"/>
        <c:majorGridlines/>
        <c:minorGridlines/>
        <c:title>
          <c:tx>
            <c:rich>
              <a:bodyPr/>
              <a:lstStyle/>
              <a:p>
                <a:pPr>
                  <a:defRPr sz="1200" b="1" i="0" u="none" strike="noStrike" baseline="0">
                    <a:solidFill>
                      <a:srgbClr val="000000"/>
                    </a:solidFill>
                    <a:latin typeface="Arial"/>
                    <a:ea typeface="Arial"/>
                    <a:cs typeface="Arial"/>
                  </a:defRPr>
                </a:pPr>
                <a:r>
                  <a:rPr lang="en-US"/>
                  <a:t>Y Axis
</a:t>
                </a:r>
              </a:p>
            </c:rich>
          </c:tx>
          <c:layout>
            <c:manualLayout>
              <c:xMode val="edge"/>
              <c:yMode val="edge"/>
              <c:x val="1.9125734091460945E-2"/>
              <c:y val="0.3976615757141963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39819632"/>
        <c:crosses val="autoZero"/>
        <c:crossBetween val="midCat"/>
      </c:valAx>
      <c:spPr>
        <a:noFill/>
        <a:ln w="25400">
          <a:noFill/>
        </a:ln>
      </c:spPr>
    </c:plotArea>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0044" r="0.75000000000000044"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31502909793711092"/>
          <c:y val="6.6679489491294472E-2"/>
          <c:w val="0.67710848643919574"/>
          <c:h val="0.89719889180519119"/>
        </c:manualLayout>
      </c:layout>
      <c:lineChart>
        <c:grouping val="standard"/>
        <c:varyColors val="0"/>
        <c:ser>
          <c:idx val="0"/>
          <c:order val="0"/>
          <c:tx>
            <c:strRef>
              <c:f>Sheet2!$AV$19</c:f>
              <c:strCache>
                <c:ptCount val="1"/>
                <c:pt idx="0">
                  <c:v>3.5</c:v>
                </c:pt>
              </c:strCache>
            </c:strRef>
          </c:tx>
          <c:spPr>
            <a:ln>
              <a:prstDash val="lgDash"/>
            </a:ln>
          </c:spPr>
          <c:marker>
            <c:symbol val="none"/>
          </c:marker>
          <c:cat>
            <c:numRef>
              <c:f>Sheet2!$K$18:$AU$18</c:f>
              <c:numCache>
                <c:formatCode>General</c:formatCode>
                <c:ptCount val="37"/>
                <c:pt idx="0">
                  <c:v>-700</c:v>
                </c:pt>
                <c:pt idx="1">
                  <c:v>-600</c:v>
                </c:pt>
                <c:pt idx="2">
                  <c:v>-500</c:v>
                </c:pt>
                <c:pt idx="3">
                  <c:v>-400</c:v>
                </c:pt>
                <c:pt idx="4">
                  <c:v>-300</c:v>
                </c:pt>
                <c:pt idx="5">
                  <c:v>-200</c:v>
                </c:pt>
                <c:pt idx="6">
                  <c:v>-100</c:v>
                </c:pt>
                <c:pt idx="7">
                  <c:v>0</c:v>
                </c:pt>
                <c:pt idx="8">
                  <c:v>100</c:v>
                </c:pt>
                <c:pt idx="9">
                  <c:v>200</c:v>
                </c:pt>
                <c:pt idx="10">
                  <c:v>300</c:v>
                </c:pt>
                <c:pt idx="11">
                  <c:v>400</c:v>
                </c:pt>
                <c:pt idx="12">
                  <c:v>500</c:v>
                </c:pt>
                <c:pt idx="13">
                  <c:v>600</c:v>
                </c:pt>
                <c:pt idx="14">
                  <c:v>700</c:v>
                </c:pt>
                <c:pt idx="15">
                  <c:v>800</c:v>
                </c:pt>
                <c:pt idx="16">
                  <c:v>900</c:v>
                </c:pt>
                <c:pt idx="17">
                  <c:v>1000</c:v>
                </c:pt>
                <c:pt idx="18">
                  <c:v>1100</c:v>
                </c:pt>
                <c:pt idx="19">
                  <c:v>1200</c:v>
                </c:pt>
                <c:pt idx="20">
                  <c:v>1300</c:v>
                </c:pt>
                <c:pt idx="21">
                  <c:v>1400</c:v>
                </c:pt>
                <c:pt idx="22">
                  <c:v>1500</c:v>
                </c:pt>
                <c:pt idx="23">
                  <c:v>1600</c:v>
                </c:pt>
                <c:pt idx="24">
                  <c:v>1700</c:v>
                </c:pt>
                <c:pt idx="25">
                  <c:v>1800</c:v>
                </c:pt>
                <c:pt idx="26">
                  <c:v>1900</c:v>
                </c:pt>
                <c:pt idx="27">
                  <c:v>2000</c:v>
                </c:pt>
                <c:pt idx="28">
                  <c:v>2100</c:v>
                </c:pt>
                <c:pt idx="29">
                  <c:v>2200</c:v>
                </c:pt>
                <c:pt idx="30">
                  <c:v>2300</c:v>
                </c:pt>
                <c:pt idx="31">
                  <c:v>2400</c:v>
                </c:pt>
                <c:pt idx="32">
                  <c:v>2500</c:v>
                </c:pt>
                <c:pt idx="33">
                  <c:v>2600</c:v>
                </c:pt>
                <c:pt idx="34">
                  <c:v>2700</c:v>
                </c:pt>
                <c:pt idx="35">
                  <c:v>2800</c:v>
                </c:pt>
                <c:pt idx="36">
                  <c:v>2900</c:v>
                </c:pt>
              </c:numCache>
            </c:numRef>
          </c:cat>
          <c:val>
            <c:numRef>
              <c:f>Sheet2!$K$19:$AU$19</c:f>
              <c:numCache>
                <c:formatCode>0.00E+00</c:formatCode>
                <c:ptCount val="37"/>
                <c:pt idx="0">
                  <c:v>-1.89166149927239E-7</c:v>
                </c:pt>
                <c:pt idx="1">
                  <c:v>-1.7171153643573366E-7</c:v>
                </c:pt>
                <c:pt idx="2">
                  <c:v>-1.5425692294422832E-7</c:v>
                </c:pt>
                <c:pt idx="3">
                  <c:v>-1.3680230945272296E-7</c:v>
                </c:pt>
                <c:pt idx="4">
                  <c:v>-1.1934769596121762E-7</c:v>
                </c:pt>
                <c:pt idx="5">
                  <c:v>-1.0189308246971228E-7</c:v>
                </c:pt>
                <c:pt idx="6">
                  <c:v>-8.443846897820694E-8</c:v>
                </c:pt>
                <c:pt idx="7">
                  <c:v>-6.6983855486701601E-8</c:v>
                </c:pt>
                <c:pt idx="8">
                  <c:v>-4.9529241995196262E-8</c:v>
                </c:pt>
                <c:pt idx="9">
                  <c:v>-3.2074628503690916E-8</c:v>
                </c:pt>
                <c:pt idx="10">
                  <c:v>-1.4620015012185573E-8</c:v>
                </c:pt>
                <c:pt idx="11">
                  <c:v>2.8345984793197655E-9</c:v>
                </c:pt>
                <c:pt idx="12">
                  <c:v>2.0289211970825104E-8</c:v>
                </c:pt>
                <c:pt idx="13">
                  <c:v>3.7743825462330459E-8</c:v>
                </c:pt>
                <c:pt idx="14">
                  <c:v>5.5198438953835791E-8</c:v>
                </c:pt>
                <c:pt idx="15">
                  <c:v>7.2653052445341137E-8</c:v>
                </c:pt>
                <c:pt idx="16">
                  <c:v>9.0107665936846475E-8</c:v>
                </c:pt>
                <c:pt idx="17">
                  <c:v>1.075622794283518E-7</c:v>
                </c:pt>
                <c:pt idx="18">
                  <c:v>1.2501689291985718E-7</c:v>
                </c:pt>
                <c:pt idx="19">
                  <c:v>1.4247150641136252E-7</c:v>
                </c:pt>
                <c:pt idx="20">
                  <c:v>1.5992611990286786E-7</c:v>
                </c:pt>
                <c:pt idx="21">
                  <c:v>1.773807333943732E-7</c:v>
                </c:pt>
                <c:pt idx="22">
                  <c:v>1.9483534688587854E-7</c:v>
                </c:pt>
                <c:pt idx="23">
                  <c:v>2.1228996037738387E-7</c:v>
                </c:pt>
                <c:pt idx="24">
                  <c:v>2.2974457386888924E-7</c:v>
                </c:pt>
                <c:pt idx="25">
                  <c:v>2.4719918736039453E-7</c:v>
                </c:pt>
                <c:pt idx="26">
                  <c:v>2.6465380085189989E-7</c:v>
                </c:pt>
                <c:pt idx="27">
                  <c:v>2.821084143434052E-7</c:v>
                </c:pt>
                <c:pt idx="28">
                  <c:v>2.9956302783491057E-7</c:v>
                </c:pt>
                <c:pt idx="29">
                  <c:v>3.1701764132641593E-7</c:v>
                </c:pt>
                <c:pt idx="30">
                  <c:v>3.3447225481792125E-7</c:v>
                </c:pt>
                <c:pt idx="31">
                  <c:v>3.5192686830942661E-7</c:v>
                </c:pt>
                <c:pt idx="32">
                  <c:v>3.6938148180093192E-7</c:v>
                </c:pt>
                <c:pt idx="33">
                  <c:v>3.8683609529243729E-7</c:v>
                </c:pt>
                <c:pt idx="34">
                  <c:v>4.0429070878394265E-7</c:v>
                </c:pt>
                <c:pt idx="35">
                  <c:v>4.2174532227544797E-7</c:v>
                </c:pt>
                <c:pt idx="36">
                  <c:v>4.3919993576695333E-7</c:v>
                </c:pt>
              </c:numCache>
            </c:numRef>
          </c:val>
          <c:smooth val="0"/>
          <c:extLst>
            <c:ext xmlns:c16="http://schemas.microsoft.com/office/drawing/2014/chart" uri="{C3380CC4-5D6E-409C-BE32-E72D297353CC}">
              <c16:uniqueId val="{00000000-E7B3-4135-A084-EA969E21330C}"/>
            </c:ext>
          </c:extLst>
        </c:ser>
        <c:ser>
          <c:idx val="1"/>
          <c:order val="1"/>
          <c:tx>
            <c:strRef>
              <c:f>Sheet2!$AV$20</c:f>
              <c:strCache>
                <c:ptCount val="1"/>
                <c:pt idx="0">
                  <c:v>3.6</c:v>
                </c:pt>
              </c:strCache>
            </c:strRef>
          </c:tx>
          <c:marker>
            <c:symbol val="none"/>
          </c:marker>
          <c:cat>
            <c:numRef>
              <c:f>Sheet2!$K$18:$AU$18</c:f>
              <c:numCache>
                <c:formatCode>General</c:formatCode>
                <c:ptCount val="37"/>
                <c:pt idx="0">
                  <c:v>-700</c:v>
                </c:pt>
                <c:pt idx="1">
                  <c:v>-600</c:v>
                </c:pt>
                <c:pt idx="2">
                  <c:v>-500</c:v>
                </c:pt>
                <c:pt idx="3">
                  <c:v>-400</c:v>
                </c:pt>
                <c:pt idx="4">
                  <c:v>-300</c:v>
                </c:pt>
                <c:pt idx="5">
                  <c:v>-200</c:v>
                </c:pt>
                <c:pt idx="6">
                  <c:v>-100</c:v>
                </c:pt>
                <c:pt idx="7">
                  <c:v>0</c:v>
                </c:pt>
                <c:pt idx="8">
                  <c:v>100</c:v>
                </c:pt>
                <c:pt idx="9">
                  <c:v>200</c:v>
                </c:pt>
                <c:pt idx="10">
                  <c:v>300</c:v>
                </c:pt>
                <c:pt idx="11">
                  <c:v>400</c:v>
                </c:pt>
                <c:pt idx="12">
                  <c:v>500</c:v>
                </c:pt>
                <c:pt idx="13">
                  <c:v>600</c:v>
                </c:pt>
                <c:pt idx="14">
                  <c:v>700</c:v>
                </c:pt>
                <c:pt idx="15">
                  <c:v>800</c:v>
                </c:pt>
                <c:pt idx="16">
                  <c:v>900</c:v>
                </c:pt>
                <c:pt idx="17">
                  <c:v>1000</c:v>
                </c:pt>
                <c:pt idx="18">
                  <c:v>1100</c:v>
                </c:pt>
                <c:pt idx="19">
                  <c:v>1200</c:v>
                </c:pt>
                <c:pt idx="20">
                  <c:v>1300</c:v>
                </c:pt>
                <c:pt idx="21">
                  <c:v>1400</c:v>
                </c:pt>
                <c:pt idx="22">
                  <c:v>1500</c:v>
                </c:pt>
                <c:pt idx="23">
                  <c:v>1600</c:v>
                </c:pt>
                <c:pt idx="24">
                  <c:v>1700</c:v>
                </c:pt>
                <c:pt idx="25">
                  <c:v>1800</c:v>
                </c:pt>
                <c:pt idx="26">
                  <c:v>1900</c:v>
                </c:pt>
                <c:pt idx="27">
                  <c:v>2000</c:v>
                </c:pt>
                <c:pt idx="28">
                  <c:v>2100</c:v>
                </c:pt>
                <c:pt idx="29">
                  <c:v>2200</c:v>
                </c:pt>
                <c:pt idx="30">
                  <c:v>2300</c:v>
                </c:pt>
                <c:pt idx="31">
                  <c:v>2400</c:v>
                </c:pt>
                <c:pt idx="32">
                  <c:v>2500</c:v>
                </c:pt>
                <c:pt idx="33">
                  <c:v>2600</c:v>
                </c:pt>
                <c:pt idx="34">
                  <c:v>2700</c:v>
                </c:pt>
                <c:pt idx="35">
                  <c:v>2800</c:v>
                </c:pt>
                <c:pt idx="36">
                  <c:v>2900</c:v>
                </c:pt>
              </c:numCache>
            </c:numRef>
          </c:cat>
          <c:val>
            <c:numRef>
              <c:f>Sheet2!$K$20:$AU$20</c:f>
              <c:numCache>
                <c:formatCode>0.00E+00</c:formatCode>
                <c:ptCount val="37"/>
                <c:pt idx="0">
                  <c:v>-2.2353482736529558E-8</c:v>
                </c:pt>
                <c:pt idx="1">
                  <c:v>-1.4568148463337962E-8</c:v>
                </c:pt>
                <c:pt idx="2">
                  <c:v>-6.7828141901463704E-9</c:v>
                </c:pt>
                <c:pt idx="3">
                  <c:v>1.0025200830452205E-9</c:v>
                </c:pt>
                <c:pt idx="4">
                  <c:v>8.7878543562368158E-9</c:v>
                </c:pt>
                <c:pt idx="5">
                  <c:v>1.6573188629428406E-8</c:v>
                </c:pt>
                <c:pt idx="6">
                  <c:v>2.435852290262E-8</c:v>
                </c:pt>
                <c:pt idx="7">
                  <c:v>3.2143857175811592E-8</c:v>
                </c:pt>
                <c:pt idx="8">
                  <c:v>3.9929191449003183E-8</c:v>
                </c:pt>
                <c:pt idx="9">
                  <c:v>4.7714525722194775E-8</c:v>
                </c:pt>
                <c:pt idx="10">
                  <c:v>5.5499859995386373E-8</c:v>
                </c:pt>
                <c:pt idx="11">
                  <c:v>6.3285194268577964E-8</c:v>
                </c:pt>
                <c:pt idx="12">
                  <c:v>7.1070528541769549E-8</c:v>
                </c:pt>
                <c:pt idx="13">
                  <c:v>7.8855862814961147E-8</c:v>
                </c:pt>
                <c:pt idx="14">
                  <c:v>8.6641197088152732E-8</c:v>
                </c:pt>
                <c:pt idx="15">
                  <c:v>9.442653136134433E-8</c:v>
                </c:pt>
                <c:pt idx="16">
                  <c:v>1.0221186563453593E-7</c:v>
                </c:pt>
                <c:pt idx="17">
                  <c:v>1.0999719990772751E-7</c:v>
                </c:pt>
                <c:pt idx="18">
                  <c:v>1.1778253418091911E-7</c:v>
                </c:pt>
                <c:pt idx="19">
                  <c:v>1.255678684541107E-7</c:v>
                </c:pt>
                <c:pt idx="20">
                  <c:v>1.3335320272730231E-7</c:v>
                </c:pt>
                <c:pt idx="21">
                  <c:v>1.4113853700049389E-7</c:v>
                </c:pt>
                <c:pt idx="22">
                  <c:v>1.4892387127368548E-7</c:v>
                </c:pt>
                <c:pt idx="23">
                  <c:v>1.5670920554687709E-7</c:v>
                </c:pt>
                <c:pt idx="24">
                  <c:v>1.6449453982006867E-7</c:v>
                </c:pt>
                <c:pt idx="25">
                  <c:v>1.7227987409326028E-7</c:v>
                </c:pt>
                <c:pt idx="26">
                  <c:v>1.8006520836645187E-7</c:v>
                </c:pt>
                <c:pt idx="27">
                  <c:v>1.8785054263964345E-7</c:v>
                </c:pt>
                <c:pt idx="28">
                  <c:v>1.9563587691283501E-7</c:v>
                </c:pt>
                <c:pt idx="29">
                  <c:v>2.0342121118602665E-7</c:v>
                </c:pt>
                <c:pt idx="30">
                  <c:v>2.1120654545921821E-7</c:v>
                </c:pt>
                <c:pt idx="31">
                  <c:v>2.1899187973240979E-7</c:v>
                </c:pt>
                <c:pt idx="32">
                  <c:v>2.2677721400560143E-7</c:v>
                </c:pt>
                <c:pt idx="33">
                  <c:v>2.3456254827879299E-7</c:v>
                </c:pt>
                <c:pt idx="34">
                  <c:v>2.4234788255198457E-7</c:v>
                </c:pt>
                <c:pt idx="35">
                  <c:v>2.5013321682517621E-7</c:v>
                </c:pt>
                <c:pt idx="36">
                  <c:v>2.5791855109836774E-7</c:v>
                </c:pt>
              </c:numCache>
            </c:numRef>
          </c:val>
          <c:smooth val="0"/>
          <c:extLst>
            <c:ext xmlns:c16="http://schemas.microsoft.com/office/drawing/2014/chart" uri="{C3380CC4-5D6E-409C-BE32-E72D297353CC}">
              <c16:uniqueId val="{00000001-E7B3-4135-A084-EA969E21330C}"/>
            </c:ext>
          </c:extLst>
        </c:ser>
        <c:ser>
          <c:idx val="2"/>
          <c:order val="2"/>
          <c:tx>
            <c:strRef>
              <c:f>Sheet2!$AV$21</c:f>
              <c:strCache>
                <c:ptCount val="1"/>
                <c:pt idx="0">
                  <c:v>3.7</c:v>
                </c:pt>
              </c:strCache>
            </c:strRef>
          </c:tx>
          <c:spPr>
            <a:ln>
              <a:prstDash val="lgDashDot"/>
            </a:ln>
          </c:spPr>
          <c:marker>
            <c:symbol val="none"/>
          </c:marker>
          <c:cat>
            <c:numRef>
              <c:f>Sheet2!$K$18:$AU$18</c:f>
              <c:numCache>
                <c:formatCode>General</c:formatCode>
                <c:ptCount val="37"/>
                <c:pt idx="0">
                  <c:v>-700</c:v>
                </c:pt>
                <c:pt idx="1">
                  <c:v>-600</c:v>
                </c:pt>
                <c:pt idx="2">
                  <c:v>-500</c:v>
                </c:pt>
                <c:pt idx="3">
                  <c:v>-400</c:v>
                </c:pt>
                <c:pt idx="4">
                  <c:v>-300</c:v>
                </c:pt>
                <c:pt idx="5">
                  <c:v>-200</c:v>
                </c:pt>
                <c:pt idx="6">
                  <c:v>-100</c:v>
                </c:pt>
                <c:pt idx="7">
                  <c:v>0</c:v>
                </c:pt>
                <c:pt idx="8">
                  <c:v>100</c:v>
                </c:pt>
                <c:pt idx="9">
                  <c:v>200</c:v>
                </c:pt>
                <c:pt idx="10">
                  <c:v>300</c:v>
                </c:pt>
                <c:pt idx="11">
                  <c:v>400</c:v>
                </c:pt>
                <c:pt idx="12">
                  <c:v>500</c:v>
                </c:pt>
                <c:pt idx="13">
                  <c:v>600</c:v>
                </c:pt>
                <c:pt idx="14">
                  <c:v>700</c:v>
                </c:pt>
                <c:pt idx="15">
                  <c:v>800</c:v>
                </c:pt>
                <c:pt idx="16">
                  <c:v>900</c:v>
                </c:pt>
                <c:pt idx="17">
                  <c:v>1000</c:v>
                </c:pt>
                <c:pt idx="18">
                  <c:v>1100</c:v>
                </c:pt>
                <c:pt idx="19">
                  <c:v>1200</c:v>
                </c:pt>
                <c:pt idx="20">
                  <c:v>1300</c:v>
                </c:pt>
                <c:pt idx="21">
                  <c:v>1400</c:v>
                </c:pt>
                <c:pt idx="22">
                  <c:v>1500</c:v>
                </c:pt>
                <c:pt idx="23">
                  <c:v>1600</c:v>
                </c:pt>
                <c:pt idx="24">
                  <c:v>1700</c:v>
                </c:pt>
                <c:pt idx="25">
                  <c:v>1800</c:v>
                </c:pt>
                <c:pt idx="26">
                  <c:v>1900</c:v>
                </c:pt>
                <c:pt idx="27">
                  <c:v>2000</c:v>
                </c:pt>
                <c:pt idx="28">
                  <c:v>2100</c:v>
                </c:pt>
                <c:pt idx="29">
                  <c:v>2200</c:v>
                </c:pt>
                <c:pt idx="30">
                  <c:v>2300</c:v>
                </c:pt>
                <c:pt idx="31">
                  <c:v>2400</c:v>
                </c:pt>
                <c:pt idx="32">
                  <c:v>2500</c:v>
                </c:pt>
                <c:pt idx="33">
                  <c:v>2600</c:v>
                </c:pt>
                <c:pt idx="34">
                  <c:v>2700</c:v>
                </c:pt>
                <c:pt idx="35">
                  <c:v>2800</c:v>
                </c:pt>
                <c:pt idx="36">
                  <c:v>2900</c:v>
                </c:pt>
              </c:numCache>
            </c:numRef>
          </c:cat>
          <c:val>
            <c:numRef>
              <c:f>Sheet2!$K$21:$AU$21</c:f>
              <c:numCache>
                <c:formatCode>0.00E+00</c:formatCode>
                <c:ptCount val="37"/>
                <c:pt idx="0">
                  <c:v>-2.6917778132737013E-8</c:v>
                </c:pt>
                <c:pt idx="1">
                  <c:v>-1.7542778132737004E-8</c:v>
                </c:pt>
                <c:pt idx="2">
                  <c:v>-8.167778132737004E-9</c:v>
                </c:pt>
                <c:pt idx="3">
                  <c:v>1.2072218672629945E-9</c:v>
                </c:pt>
                <c:pt idx="4">
                  <c:v>1.0582221867262997E-8</c:v>
                </c:pt>
                <c:pt idx="5">
                  <c:v>1.9957221867262995E-8</c:v>
                </c:pt>
                <c:pt idx="6">
                  <c:v>2.9332221867262994E-8</c:v>
                </c:pt>
                <c:pt idx="7">
                  <c:v>3.8707221867262997E-8</c:v>
                </c:pt>
                <c:pt idx="8">
                  <c:v>4.8082221867263E-8</c:v>
                </c:pt>
                <c:pt idx="9">
                  <c:v>5.7457221867263003E-8</c:v>
                </c:pt>
                <c:pt idx="10">
                  <c:v>6.6832221867262999E-8</c:v>
                </c:pt>
                <c:pt idx="11">
                  <c:v>7.6207221867263002E-8</c:v>
                </c:pt>
                <c:pt idx="12">
                  <c:v>8.5582221867262992E-8</c:v>
                </c:pt>
                <c:pt idx="13">
                  <c:v>9.4957221867263008E-8</c:v>
                </c:pt>
                <c:pt idx="14">
                  <c:v>1.04332221867263E-7</c:v>
                </c:pt>
                <c:pt idx="15">
                  <c:v>1.1370722186726301E-7</c:v>
                </c:pt>
                <c:pt idx="16">
                  <c:v>1.23082221867263E-7</c:v>
                </c:pt>
                <c:pt idx="17">
                  <c:v>1.3245722186726299E-7</c:v>
                </c:pt>
                <c:pt idx="18">
                  <c:v>1.4183222186726301E-7</c:v>
                </c:pt>
                <c:pt idx="19">
                  <c:v>1.51207221867263E-7</c:v>
                </c:pt>
                <c:pt idx="20">
                  <c:v>1.6058222186726301E-7</c:v>
                </c:pt>
                <c:pt idx="21">
                  <c:v>1.69957221867263E-7</c:v>
                </c:pt>
                <c:pt idx="22">
                  <c:v>1.7933222186726299E-7</c:v>
                </c:pt>
                <c:pt idx="23">
                  <c:v>1.8870722186726301E-7</c:v>
                </c:pt>
                <c:pt idx="24">
                  <c:v>1.98082221867263E-7</c:v>
                </c:pt>
                <c:pt idx="25">
                  <c:v>2.0745722186726299E-7</c:v>
                </c:pt>
                <c:pt idx="26">
                  <c:v>2.1683222186726298E-7</c:v>
                </c:pt>
                <c:pt idx="27">
                  <c:v>2.2620722186726297E-7</c:v>
                </c:pt>
                <c:pt idx="28">
                  <c:v>2.3558222186726296E-7</c:v>
                </c:pt>
                <c:pt idx="29">
                  <c:v>2.4495722186726303E-7</c:v>
                </c:pt>
                <c:pt idx="30">
                  <c:v>2.5433222186726299E-7</c:v>
                </c:pt>
                <c:pt idx="31">
                  <c:v>2.6370722186726301E-7</c:v>
                </c:pt>
                <c:pt idx="32">
                  <c:v>2.7308222186726302E-7</c:v>
                </c:pt>
                <c:pt idx="33">
                  <c:v>2.8245722186726299E-7</c:v>
                </c:pt>
                <c:pt idx="34">
                  <c:v>2.91832221867263E-7</c:v>
                </c:pt>
                <c:pt idx="35">
                  <c:v>3.0120722186726302E-7</c:v>
                </c:pt>
                <c:pt idx="36">
                  <c:v>3.1058222186726298E-7</c:v>
                </c:pt>
              </c:numCache>
            </c:numRef>
          </c:val>
          <c:smooth val="0"/>
          <c:extLst>
            <c:ext xmlns:c16="http://schemas.microsoft.com/office/drawing/2014/chart" uri="{C3380CC4-5D6E-409C-BE32-E72D297353CC}">
              <c16:uniqueId val="{00000002-E7B3-4135-A084-EA969E21330C}"/>
            </c:ext>
          </c:extLst>
        </c:ser>
        <c:ser>
          <c:idx val="3"/>
          <c:order val="3"/>
          <c:tx>
            <c:strRef>
              <c:f>Sheet2!$AV$22</c:f>
              <c:strCache>
                <c:ptCount val="1"/>
                <c:pt idx="0">
                  <c:v>3.8</c:v>
                </c:pt>
              </c:strCache>
            </c:strRef>
          </c:tx>
          <c:spPr>
            <a:ln>
              <a:prstDash val="sysDot"/>
            </a:ln>
          </c:spPr>
          <c:marker>
            <c:symbol val="none"/>
          </c:marker>
          <c:cat>
            <c:numRef>
              <c:f>Sheet2!$K$18:$AU$18</c:f>
              <c:numCache>
                <c:formatCode>General</c:formatCode>
                <c:ptCount val="37"/>
                <c:pt idx="0">
                  <c:v>-700</c:v>
                </c:pt>
                <c:pt idx="1">
                  <c:v>-600</c:v>
                </c:pt>
                <c:pt idx="2">
                  <c:v>-500</c:v>
                </c:pt>
                <c:pt idx="3">
                  <c:v>-400</c:v>
                </c:pt>
                <c:pt idx="4">
                  <c:v>-300</c:v>
                </c:pt>
                <c:pt idx="5">
                  <c:v>-200</c:v>
                </c:pt>
                <c:pt idx="6">
                  <c:v>-100</c:v>
                </c:pt>
                <c:pt idx="7">
                  <c:v>0</c:v>
                </c:pt>
                <c:pt idx="8">
                  <c:v>100</c:v>
                </c:pt>
                <c:pt idx="9">
                  <c:v>200</c:v>
                </c:pt>
                <c:pt idx="10">
                  <c:v>300</c:v>
                </c:pt>
                <c:pt idx="11">
                  <c:v>400</c:v>
                </c:pt>
                <c:pt idx="12">
                  <c:v>500</c:v>
                </c:pt>
                <c:pt idx="13">
                  <c:v>600</c:v>
                </c:pt>
                <c:pt idx="14">
                  <c:v>700</c:v>
                </c:pt>
                <c:pt idx="15">
                  <c:v>800</c:v>
                </c:pt>
                <c:pt idx="16">
                  <c:v>900</c:v>
                </c:pt>
                <c:pt idx="17">
                  <c:v>1000</c:v>
                </c:pt>
                <c:pt idx="18">
                  <c:v>1100</c:v>
                </c:pt>
                <c:pt idx="19">
                  <c:v>1200</c:v>
                </c:pt>
                <c:pt idx="20">
                  <c:v>1300</c:v>
                </c:pt>
                <c:pt idx="21">
                  <c:v>1400</c:v>
                </c:pt>
                <c:pt idx="22">
                  <c:v>1500</c:v>
                </c:pt>
                <c:pt idx="23">
                  <c:v>1600</c:v>
                </c:pt>
                <c:pt idx="24">
                  <c:v>1700</c:v>
                </c:pt>
                <c:pt idx="25">
                  <c:v>1800</c:v>
                </c:pt>
                <c:pt idx="26">
                  <c:v>1900</c:v>
                </c:pt>
                <c:pt idx="27">
                  <c:v>2000</c:v>
                </c:pt>
                <c:pt idx="28">
                  <c:v>2100</c:v>
                </c:pt>
                <c:pt idx="29">
                  <c:v>2200</c:v>
                </c:pt>
                <c:pt idx="30">
                  <c:v>2300</c:v>
                </c:pt>
                <c:pt idx="31">
                  <c:v>2400</c:v>
                </c:pt>
                <c:pt idx="32">
                  <c:v>2500</c:v>
                </c:pt>
                <c:pt idx="33">
                  <c:v>2600</c:v>
                </c:pt>
                <c:pt idx="34">
                  <c:v>2700</c:v>
                </c:pt>
                <c:pt idx="35">
                  <c:v>2800</c:v>
                </c:pt>
                <c:pt idx="36">
                  <c:v>2900</c:v>
                </c:pt>
              </c:numCache>
            </c:numRef>
          </c:cat>
          <c:val>
            <c:numRef>
              <c:f>Sheet2!$K$22:$AU$22</c:f>
              <c:numCache>
                <c:formatCode>0.00E+00</c:formatCode>
                <c:ptCount val="37"/>
                <c:pt idx="0">
                  <c:v>-2.5499060357471699E-7</c:v>
                </c:pt>
                <c:pt idx="1">
                  <c:v>-2.3146227976480549E-7</c:v>
                </c:pt>
                <c:pt idx="2">
                  <c:v>-2.07933955954894E-7</c:v>
                </c:pt>
                <c:pt idx="3">
                  <c:v>-1.8440563214498248E-7</c:v>
                </c:pt>
                <c:pt idx="4">
                  <c:v>-1.6087730833507098E-7</c:v>
                </c:pt>
                <c:pt idx="5">
                  <c:v>-1.3734898452515949E-7</c:v>
                </c:pt>
                <c:pt idx="6">
                  <c:v>-1.13820660715248E-7</c:v>
                </c:pt>
                <c:pt idx="7">
                  <c:v>-9.0292336905336501E-8</c:v>
                </c:pt>
                <c:pt idx="8">
                  <c:v>-6.6764013095425007E-8</c:v>
                </c:pt>
                <c:pt idx="9">
                  <c:v>-4.3235689285513506E-8</c:v>
                </c:pt>
                <c:pt idx="10">
                  <c:v>-1.9707365475602005E-8</c:v>
                </c:pt>
                <c:pt idx="11">
                  <c:v>3.8209583343094871E-9</c:v>
                </c:pt>
                <c:pt idx="12">
                  <c:v>2.7349282144220981E-8</c:v>
                </c:pt>
                <c:pt idx="13">
                  <c:v>5.0877605954132492E-8</c:v>
                </c:pt>
                <c:pt idx="14">
                  <c:v>7.4405929764043986E-8</c:v>
                </c:pt>
                <c:pt idx="15">
                  <c:v>9.7934253573955481E-8</c:v>
                </c:pt>
                <c:pt idx="16">
                  <c:v>1.2146257738386698E-7</c:v>
                </c:pt>
                <c:pt idx="17">
                  <c:v>1.4499090119377844E-7</c:v>
                </c:pt>
                <c:pt idx="18">
                  <c:v>1.6851922500368999E-7</c:v>
                </c:pt>
                <c:pt idx="19">
                  <c:v>1.9204754881360148E-7</c:v>
                </c:pt>
                <c:pt idx="20">
                  <c:v>2.1557587262351298E-7</c:v>
                </c:pt>
                <c:pt idx="21">
                  <c:v>2.3910419643342447E-7</c:v>
                </c:pt>
                <c:pt idx="22">
                  <c:v>2.6263252024333594E-7</c:v>
                </c:pt>
                <c:pt idx="23">
                  <c:v>2.8616084405324746E-7</c:v>
                </c:pt>
                <c:pt idx="24">
                  <c:v>3.0968916786315904E-7</c:v>
                </c:pt>
                <c:pt idx="25">
                  <c:v>3.3321749167307045E-7</c:v>
                </c:pt>
                <c:pt idx="26">
                  <c:v>3.5674581548298197E-7</c:v>
                </c:pt>
                <c:pt idx="27">
                  <c:v>3.8027413929289339E-7</c:v>
                </c:pt>
                <c:pt idx="28">
                  <c:v>4.0380246310280491E-7</c:v>
                </c:pt>
                <c:pt idx="29">
                  <c:v>4.2733078691271648E-7</c:v>
                </c:pt>
                <c:pt idx="30">
                  <c:v>4.5085911072262795E-7</c:v>
                </c:pt>
                <c:pt idx="31">
                  <c:v>4.7438743453253947E-7</c:v>
                </c:pt>
                <c:pt idx="32">
                  <c:v>4.9791575834245099E-7</c:v>
                </c:pt>
                <c:pt idx="33">
                  <c:v>5.2144408215236251E-7</c:v>
                </c:pt>
                <c:pt idx="34">
                  <c:v>5.4497240596227403E-7</c:v>
                </c:pt>
                <c:pt idx="35">
                  <c:v>5.6850072977218545E-7</c:v>
                </c:pt>
                <c:pt idx="36">
                  <c:v>5.9202905358209697E-7</c:v>
                </c:pt>
              </c:numCache>
            </c:numRef>
          </c:val>
          <c:smooth val="0"/>
          <c:extLst>
            <c:ext xmlns:c16="http://schemas.microsoft.com/office/drawing/2014/chart" uri="{C3380CC4-5D6E-409C-BE32-E72D297353CC}">
              <c16:uniqueId val="{00000003-E7B3-4135-A084-EA969E21330C}"/>
            </c:ext>
          </c:extLst>
        </c:ser>
        <c:dLbls>
          <c:showLegendKey val="0"/>
          <c:showVal val="0"/>
          <c:showCatName val="0"/>
          <c:showSerName val="0"/>
          <c:showPercent val="0"/>
          <c:showBubbleSize val="0"/>
        </c:dLbls>
        <c:smooth val="0"/>
        <c:axId val="262191696"/>
        <c:axId val="262191304"/>
      </c:lineChart>
      <c:catAx>
        <c:axId val="262191696"/>
        <c:scaling>
          <c:orientation val="minMax"/>
        </c:scaling>
        <c:delete val="0"/>
        <c:axPos val="b"/>
        <c:numFmt formatCode="General" sourceLinked="1"/>
        <c:majorTickMark val="out"/>
        <c:minorTickMark val="none"/>
        <c:tickLblPos val="nextTo"/>
        <c:crossAx val="262191304"/>
        <c:crosses val="autoZero"/>
        <c:auto val="1"/>
        <c:lblAlgn val="ctr"/>
        <c:lblOffset val="100"/>
        <c:noMultiLvlLbl val="0"/>
      </c:catAx>
      <c:valAx>
        <c:axId val="262191304"/>
        <c:scaling>
          <c:orientation val="minMax"/>
        </c:scaling>
        <c:delete val="0"/>
        <c:axPos val="l"/>
        <c:majorGridlines/>
        <c:numFmt formatCode="0.00E+00" sourceLinked="1"/>
        <c:majorTickMark val="out"/>
        <c:minorTickMark val="none"/>
        <c:tickLblPos val="nextTo"/>
        <c:crossAx val="262191696"/>
        <c:crosses val="autoZero"/>
        <c:crossBetween val="between"/>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ialog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dialogsheets/sheet1.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00000000-0001-0000-0000-000000000000}">
  <sheetViews>
    <sheetView showRowColHeaders="0" showZeros="0" showOutlineSymbols="0" workbookViewId="0"/>
  </sheetViews>
  <sheetFormatPr defaultColWidth="1" defaultRowHeight="5.35" customHeight="1" x14ac:dyDescent="0.2"/>
  <sheetProtection password="C150" sheet="1" objects="1" scenarios="1"/>
  <pageMargins left="0.75" right="0.75" top="1" bottom="1" header="0.5" footer="0.5"/>
  <pageSetup paperSize="9" orientation="portrait" horizontalDpi="4294967292" verticalDpi="200" r:id="rId1"/>
  <headerFooter alignWithMargins="0">
    <oddHeader>&amp;A</oddHeader>
    <oddFooter>Page &amp;P</oddFooter>
  </headerFooter>
  <legacyDrawing r:id="rId2"/>
</dialogsheet>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2</xdr:col>
      <xdr:colOff>559378</xdr:colOff>
      <xdr:row>99</xdr:row>
      <xdr:rowOff>54842</xdr:rowOff>
    </xdr:from>
    <xdr:to>
      <xdr:col>5</xdr:col>
      <xdr:colOff>625476</xdr:colOff>
      <xdr:row>112</xdr:row>
      <xdr:rowOff>1</xdr:rowOff>
    </xdr:to>
    <xdr:graphicFrame macro="">
      <xdr:nvGraphicFramePr>
        <xdr:cNvPr id="2050" name="Chart 2">
          <a:extLst>
            <a:ext uri="{FF2B5EF4-FFF2-40B4-BE49-F238E27FC236}">
              <a16:creationId xmlns:a16="http://schemas.microsoft.com/office/drawing/2014/main" id="{00000000-0008-0000-0400-000002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3</xdr:col>
      <xdr:colOff>128587</xdr:colOff>
      <xdr:row>288</xdr:row>
      <xdr:rowOff>157162</xdr:rowOff>
    </xdr:from>
    <xdr:ext cx="1700213" cy="264560"/>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957387" y="35342512"/>
          <a:ext cx="170021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𝑃/𝐴𝑐</a:t>
          </a:r>
          <a:r>
            <a:rPr lang="en-US" sz="1100"/>
            <a:t>+</a:t>
          </a:r>
          <a:r>
            <a:rPr lang="en-US" sz="1100" b="0" i="0">
              <a:latin typeface="Cambria Math"/>
            </a:rPr>
            <a:t>𝑃𝑒/𝑍b</a:t>
          </a:r>
          <a:r>
            <a:rPr lang="en-US" sz="1100"/>
            <a:t>-</a:t>
          </a:r>
          <a:r>
            <a:rPr lang="en-US" sz="1100" i="0">
              <a:latin typeface="Cambria Math"/>
            </a:rPr>
            <a:t>𝐶</a:t>
          </a:r>
          <a:r>
            <a:rPr lang="en-US" sz="1100" i="0" baseline="-25000">
              <a:latin typeface="Cambria Math"/>
            </a:rPr>
            <a:t>𝑏</a:t>
          </a:r>
          <a:r>
            <a:rPr lang="en-US" sz="1100" b="0" i="0" baseline="-25000">
              <a:latin typeface="Cambria Math"/>
            </a:rPr>
            <a:t>𝐴</a:t>
          </a:r>
          <a:r>
            <a:rPr lang="en-US" sz="1100" i="0">
              <a:solidFill>
                <a:schemeClr val="tx1"/>
              </a:solidFill>
              <a:effectLst/>
              <a:latin typeface="Cambria Math"/>
              <a:ea typeface="+mn-ea"/>
              <a:cs typeface="+mn-cs"/>
            </a:rPr>
            <a:t>≤</a:t>
          </a:r>
          <a:endParaRPr lang="en-US" sz="1100"/>
        </a:p>
      </xdr:txBody>
    </xdr:sp>
    <xdr:clientData/>
  </xdr:oneCellAnchor>
  <xdr:oneCellAnchor>
    <xdr:from>
      <xdr:col>2</xdr:col>
      <xdr:colOff>609599</xdr:colOff>
      <xdr:row>291</xdr:row>
      <xdr:rowOff>0</xdr:rowOff>
    </xdr:from>
    <xdr:ext cx="2105025" cy="372341"/>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1828799" y="35671125"/>
          <a:ext cx="2105025" cy="3723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i="0">
              <a:latin typeface="Cambria Math"/>
            </a:rPr>
            <a:t>𝑃/𝐴𝑐</a:t>
          </a:r>
          <a:r>
            <a:rPr lang="en-US" sz="1100"/>
            <a:t>+</a:t>
          </a:r>
          <a:r>
            <a:rPr lang="en-US" sz="1100" b="0" i="0">
              <a:latin typeface="Cambria Math"/>
            </a:rPr>
            <a:t>𝑃𝑒/𝑍t</a:t>
          </a:r>
          <a:r>
            <a:rPr lang="en-US" sz="1100"/>
            <a:t>+</a:t>
          </a:r>
          <a:r>
            <a:rPr lang="en-US" sz="1100" i="0">
              <a:latin typeface="Cambria Math"/>
            </a:rPr>
            <a:t>𝐶</a:t>
          </a:r>
          <a:r>
            <a:rPr lang="en-US" sz="1100" b="0" i="0" baseline="-25000">
              <a:latin typeface="Cambria Math"/>
            </a:rPr>
            <a:t>𝑡𝐴</a:t>
          </a:r>
          <a:r>
            <a:rPr lang="en-US" sz="1100" i="0">
              <a:solidFill>
                <a:schemeClr val="tx1"/>
              </a:solidFill>
              <a:effectLst/>
              <a:latin typeface="Cambria Math"/>
              <a:ea typeface="Cambria Math"/>
              <a:cs typeface="+mn-cs"/>
            </a:rPr>
            <a:t>≥</a:t>
          </a:r>
          <a:endParaRPr lang="en-US" sz="1100"/>
        </a:p>
      </xdr:txBody>
    </xdr:sp>
    <xdr:clientData/>
  </xdr:oneCellAnchor>
  <xdr:oneCellAnchor>
    <xdr:from>
      <xdr:col>2</xdr:col>
      <xdr:colOff>542923</xdr:colOff>
      <xdr:row>292</xdr:row>
      <xdr:rowOff>123825</xdr:rowOff>
    </xdr:from>
    <xdr:ext cx="2076452" cy="264560"/>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1762123" y="35956875"/>
          <a:ext cx="207645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𝑛𝑃/𝐴𝑐</a:t>
          </a:r>
          <a:r>
            <a:rPr lang="en-US" sz="1100"/>
            <a:t>+</a:t>
          </a:r>
          <a:r>
            <a:rPr lang="en-US" sz="1100" b="0" i="0">
              <a:latin typeface="Cambria Math"/>
            </a:rPr>
            <a:t>𝑛𝑃𝑒/𝑍t</a:t>
          </a:r>
          <a:r>
            <a:rPr lang="en-US" sz="1100"/>
            <a:t>-</a:t>
          </a:r>
          <a:r>
            <a:rPr lang="en-US" sz="1100" i="0">
              <a:latin typeface="Cambria Math"/>
            </a:rPr>
            <a:t>𝐶</a:t>
          </a:r>
          <a:r>
            <a:rPr lang="en-US" sz="1100" i="0" baseline="-25000">
              <a:latin typeface="Cambria Math"/>
            </a:rPr>
            <a:t>𝑏</a:t>
          </a:r>
          <a:r>
            <a:rPr lang="en-US" sz="1100" b="0" i="0" baseline="-25000">
              <a:latin typeface="Cambria Math"/>
            </a:rPr>
            <a:t>𝐴</a:t>
          </a:r>
          <a:r>
            <a:rPr lang="en-US" sz="1100" b="0" i="0">
              <a:latin typeface="Cambria Math"/>
            </a:rPr>
            <a:t>−𝐶𝑏𝐵</a:t>
          </a:r>
          <a:r>
            <a:rPr lang="en-US" sz="1100" i="0">
              <a:solidFill>
                <a:schemeClr val="tx1"/>
              </a:solidFill>
              <a:effectLst/>
              <a:latin typeface="Cambria Math"/>
              <a:ea typeface="+mn-ea"/>
              <a:cs typeface="+mn-cs"/>
            </a:rPr>
            <a:t>≥</a:t>
          </a:r>
          <a:endParaRPr lang="en-US" sz="1100"/>
        </a:p>
      </xdr:txBody>
    </xdr:sp>
    <xdr:clientData/>
  </xdr:oneCellAnchor>
  <xdr:oneCellAnchor>
    <xdr:from>
      <xdr:col>2</xdr:col>
      <xdr:colOff>504824</xdr:colOff>
      <xdr:row>294</xdr:row>
      <xdr:rowOff>123825</xdr:rowOff>
    </xdr:from>
    <xdr:ext cx="2143125" cy="264560"/>
    <xdr:sp macro="" textlink="">
      <xdr:nvSpPr>
        <xdr:cNvPr id="7" name="TextBox 6">
          <a:extLst>
            <a:ext uri="{FF2B5EF4-FFF2-40B4-BE49-F238E27FC236}">
              <a16:creationId xmlns:a16="http://schemas.microsoft.com/office/drawing/2014/main" id="{00000000-0008-0000-0400-000007000000}"/>
            </a:ext>
          </a:extLst>
        </xdr:cNvPr>
        <xdr:cNvSpPr txBox="1"/>
      </xdr:nvSpPr>
      <xdr:spPr>
        <a:xfrm>
          <a:off x="1724024" y="36280725"/>
          <a:ext cx="21431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𝑛𝑃/𝐴𝑐</a:t>
          </a:r>
          <a:r>
            <a:rPr lang="en-US" sz="1100"/>
            <a:t>+</a:t>
          </a:r>
          <a:r>
            <a:rPr lang="en-US" sz="1100" b="0" i="0">
              <a:latin typeface="Cambria Math"/>
            </a:rPr>
            <a:t>𝑛𝑃𝑒/𝑍b</a:t>
          </a:r>
          <a:r>
            <a:rPr lang="en-US" sz="1100"/>
            <a:t>+</a:t>
          </a:r>
          <a:r>
            <a:rPr lang="en-US" sz="1100" i="0">
              <a:latin typeface="Cambria Math"/>
            </a:rPr>
            <a:t>𝐶</a:t>
          </a:r>
          <a:r>
            <a:rPr lang="en-US" sz="1100" b="0" i="0" baseline="-25000">
              <a:latin typeface="Cambria Math"/>
            </a:rPr>
            <a:t>𝑡𝐴</a:t>
          </a:r>
          <a:r>
            <a:rPr lang="en-US" sz="1100" b="0" i="0">
              <a:latin typeface="Cambria Math"/>
            </a:rPr>
            <a:t>+𝐶𝑡𝐵</a:t>
          </a:r>
          <a:r>
            <a:rPr lang="en-US" sz="1100" i="0">
              <a:solidFill>
                <a:schemeClr val="tx1"/>
              </a:solidFill>
              <a:effectLst/>
              <a:latin typeface="Cambria Math"/>
              <a:ea typeface="+mn-ea"/>
              <a:cs typeface="+mn-cs"/>
            </a:rPr>
            <a:t>≤</a:t>
          </a:r>
          <a:endParaRPr lang="en-US" sz="1100"/>
        </a:p>
      </xdr:txBody>
    </xdr:sp>
    <xdr:clientData/>
  </xdr:oneCellAnchor>
  <xdr:twoCellAnchor>
    <xdr:from>
      <xdr:col>3</xdr:col>
      <xdr:colOff>223982</xdr:colOff>
      <xdr:row>323</xdr:row>
      <xdr:rowOff>71582</xdr:rowOff>
    </xdr:from>
    <xdr:to>
      <xdr:col>8</xdr:col>
      <xdr:colOff>160771</xdr:colOff>
      <xdr:row>342</xdr:row>
      <xdr:rowOff>158750</xdr:rowOff>
    </xdr:to>
    <xdr:graphicFrame macro="">
      <xdr:nvGraphicFramePr>
        <xdr:cNvPr id="46" name="Chart 2">
          <a:extLst>
            <a:ext uri="{FF2B5EF4-FFF2-40B4-BE49-F238E27FC236}">
              <a16:creationId xmlns:a16="http://schemas.microsoft.com/office/drawing/2014/main" id="{00000000-0008-0000-04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600653</xdr:colOff>
      <xdr:row>187</xdr:row>
      <xdr:rowOff>86591</xdr:rowOff>
    </xdr:from>
    <xdr:to>
      <xdr:col>5</xdr:col>
      <xdr:colOff>666751</xdr:colOff>
      <xdr:row>198</xdr:row>
      <xdr:rowOff>95250</xdr:rowOff>
    </xdr:to>
    <xdr:graphicFrame macro="">
      <xdr:nvGraphicFramePr>
        <xdr:cNvPr id="45" name="Chart 2">
          <a:extLst>
            <a:ext uri="{FF2B5EF4-FFF2-40B4-BE49-F238E27FC236}">
              <a16:creationId xmlns:a16="http://schemas.microsoft.com/office/drawing/2014/main" id="{00000000-0008-0000-04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600650</xdr:colOff>
      <xdr:row>225</xdr:row>
      <xdr:rowOff>1</xdr:rowOff>
    </xdr:from>
    <xdr:to>
      <xdr:col>7</xdr:col>
      <xdr:colOff>825499</xdr:colOff>
      <xdr:row>236</xdr:row>
      <xdr:rowOff>111126</xdr:rowOff>
    </xdr:to>
    <xdr:graphicFrame macro="">
      <xdr:nvGraphicFramePr>
        <xdr:cNvPr id="49" name="Chart 2">
          <a:extLst>
            <a:ext uri="{FF2B5EF4-FFF2-40B4-BE49-F238E27FC236}">
              <a16:creationId xmlns:a16="http://schemas.microsoft.com/office/drawing/2014/main" id="{00000000-0008-0000-04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192232</xdr:colOff>
      <xdr:row>443</xdr:row>
      <xdr:rowOff>87457</xdr:rowOff>
    </xdr:from>
    <xdr:to>
      <xdr:col>8</xdr:col>
      <xdr:colOff>129021</xdr:colOff>
      <xdr:row>462</xdr:row>
      <xdr:rowOff>174625</xdr:rowOff>
    </xdr:to>
    <xdr:graphicFrame macro="">
      <xdr:nvGraphicFramePr>
        <xdr:cNvPr id="20" name="Chart 2">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4</xdr:col>
      <xdr:colOff>76200</xdr:colOff>
      <xdr:row>318</xdr:row>
      <xdr:rowOff>138112</xdr:rowOff>
    </xdr:from>
    <xdr:ext cx="914400" cy="437749"/>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2647950" y="45934312"/>
          <a:ext cx="914400" cy="4377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rtlCol="0" anchor="t">
          <a:spAutoFit/>
        </a:bodyPr>
        <a:lstStyle/>
        <a:p>
          <a:r>
            <a:rPr lang="en-US" sz="1100" b="0" i="0">
              <a:latin typeface="Cambria Math"/>
            </a:rPr>
            <a:t>𝐸𝑖𝑐/𝐸𝑝𝑐</a:t>
          </a:r>
          <a:endParaRPr lang="en-US" sz="1100"/>
        </a:p>
      </xdr:txBody>
    </xdr:sp>
    <xdr:clientData/>
  </xdr:oneCellAnchor>
  <xdr:twoCellAnchor>
    <xdr:from>
      <xdr:col>2</xdr:col>
      <xdr:colOff>559378</xdr:colOff>
      <xdr:row>142</xdr:row>
      <xdr:rowOff>54842</xdr:rowOff>
    </xdr:from>
    <xdr:to>
      <xdr:col>5</xdr:col>
      <xdr:colOff>625476</xdr:colOff>
      <xdr:row>155</xdr:row>
      <xdr:rowOff>1</xdr:rowOff>
    </xdr:to>
    <xdr:graphicFrame macro="">
      <xdr:nvGraphicFramePr>
        <xdr:cNvPr id="28" name="Chart 2">
          <a:extLst>
            <a:ext uri="{FF2B5EF4-FFF2-40B4-BE49-F238E27FC236}">
              <a16:creationId xmlns:a16="http://schemas.microsoft.com/office/drawing/2014/main" id="{00000000-0008-0000-04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223983</xdr:colOff>
      <xdr:row>365</xdr:row>
      <xdr:rowOff>9524</xdr:rowOff>
    </xdr:from>
    <xdr:to>
      <xdr:col>8</xdr:col>
      <xdr:colOff>57151</xdr:colOff>
      <xdr:row>383</xdr:row>
      <xdr:rowOff>158749</xdr:rowOff>
    </xdr:to>
    <xdr:graphicFrame macro="">
      <xdr:nvGraphicFramePr>
        <xdr:cNvPr id="29" name="Chart 2">
          <a:extLst>
            <a:ext uri="{FF2B5EF4-FFF2-40B4-BE49-F238E27FC236}">
              <a16:creationId xmlns:a16="http://schemas.microsoft.com/office/drawing/2014/main" id="{00000000-0008-0000-04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600075</xdr:colOff>
      <xdr:row>511</xdr:row>
      <xdr:rowOff>33337</xdr:rowOff>
    </xdr:from>
    <xdr:to>
      <xdr:col>8</xdr:col>
      <xdr:colOff>962025</xdr:colOff>
      <xdr:row>526</xdr:row>
      <xdr:rowOff>33337</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57150</xdr:colOff>
      <xdr:row>0</xdr:row>
      <xdr:rowOff>0</xdr:rowOff>
    </xdr:from>
    <xdr:to>
      <xdr:col>7</xdr:col>
      <xdr:colOff>149225</xdr:colOff>
      <xdr:row>1</xdr:row>
      <xdr:rowOff>0</xdr:rowOff>
    </xdr:to>
    <xdr:sp macro="" textlink="">
      <xdr:nvSpPr>
        <xdr:cNvPr id="90" name="Text 444">
          <a:extLst>
            <a:ext uri="{FF2B5EF4-FFF2-40B4-BE49-F238E27FC236}">
              <a16:creationId xmlns:a16="http://schemas.microsoft.com/office/drawing/2014/main" id="{00000000-0008-0000-0100-00005A000000}"/>
            </a:ext>
          </a:extLst>
        </xdr:cNvPr>
        <xdr:cNvSpPr txBox="1">
          <a:spLocks noChangeArrowheads="1"/>
        </xdr:cNvSpPr>
      </xdr:nvSpPr>
      <xdr:spPr bwMode="auto">
        <a:xfrm>
          <a:off x="4114800" y="7639050"/>
          <a:ext cx="1025525" cy="142875"/>
        </a:xfrm>
        <a:prstGeom prst="rect">
          <a:avLst/>
        </a:prstGeom>
        <a:solidFill>
          <a:srgbClr val="FFFFFF"/>
        </a:solidFill>
        <a:ln w="1">
          <a:noFill/>
          <a:miter lim="800000"/>
          <a:headEnd/>
          <a:tailEnd/>
        </a:ln>
      </xdr:spPr>
      <xdr:txBody>
        <a:bodyPr vertOverflow="clip" wrap="square" lIns="27432" tIns="18288" rIns="0" bIns="0" anchor="t" upright="1"/>
        <a:lstStyle/>
        <a:p>
          <a:pPr algn="l" rtl="0">
            <a:defRPr sz="1000"/>
          </a:pPr>
          <a:r>
            <a:rPr lang="en-US" sz="700" b="0" i="0" strike="noStrike">
              <a:solidFill>
                <a:srgbClr val="000000"/>
              </a:solidFill>
              <a:latin typeface="Arial"/>
              <a:cs typeface="Arial"/>
            </a:rPr>
            <a:t>D</a:t>
          </a:r>
          <a:r>
            <a:rPr lang="en-US" sz="700" b="0" i="0" strike="noStrike" baseline="-25000">
              <a:solidFill>
                <a:srgbClr val="000000"/>
              </a:solidFill>
              <a:latin typeface="Arial"/>
              <a:cs typeface="Arial"/>
            </a:rPr>
            <a:t>w</a:t>
          </a:r>
          <a:r>
            <a:rPr lang="en-US" sz="700" b="0" i="0" strike="noStrike">
              <a:solidFill>
                <a:srgbClr val="000000"/>
              </a:solidFill>
              <a:latin typeface="Arial"/>
              <a:cs typeface="Arial"/>
            </a:rPr>
            <a:t> thick wearing course</a:t>
          </a:r>
        </a:p>
      </xdr:txBody>
    </xdr:sp>
    <xdr:clientData/>
  </xdr:twoCellAnchor>
  <xdr:twoCellAnchor editAs="oneCell">
    <xdr:from>
      <xdr:col>5</xdr:col>
      <xdr:colOff>57150</xdr:colOff>
      <xdr:row>0</xdr:row>
      <xdr:rowOff>0</xdr:rowOff>
    </xdr:from>
    <xdr:to>
      <xdr:col>7</xdr:col>
      <xdr:colOff>149225</xdr:colOff>
      <xdr:row>1</xdr:row>
      <xdr:rowOff>0</xdr:rowOff>
    </xdr:to>
    <xdr:sp macro="" textlink="">
      <xdr:nvSpPr>
        <xdr:cNvPr id="144" name="Text 444">
          <a:extLst>
            <a:ext uri="{FF2B5EF4-FFF2-40B4-BE49-F238E27FC236}">
              <a16:creationId xmlns:a16="http://schemas.microsoft.com/office/drawing/2014/main" id="{00000000-0008-0000-0100-000090000000}"/>
            </a:ext>
          </a:extLst>
        </xdr:cNvPr>
        <xdr:cNvSpPr txBox="1">
          <a:spLocks noChangeArrowheads="1"/>
        </xdr:cNvSpPr>
      </xdr:nvSpPr>
      <xdr:spPr bwMode="auto">
        <a:xfrm>
          <a:off x="4114800" y="9906000"/>
          <a:ext cx="1025525" cy="142875"/>
        </a:xfrm>
        <a:prstGeom prst="rect">
          <a:avLst/>
        </a:prstGeom>
        <a:solidFill>
          <a:srgbClr val="FFFFFF"/>
        </a:solidFill>
        <a:ln w="1">
          <a:noFill/>
          <a:miter lim="800000"/>
          <a:headEnd/>
          <a:tailEnd/>
        </a:ln>
      </xdr:spPr>
      <xdr:txBody>
        <a:bodyPr vertOverflow="clip" wrap="square" lIns="27432" tIns="18288" rIns="0" bIns="0" anchor="t" upright="1"/>
        <a:lstStyle/>
        <a:p>
          <a:pPr algn="l" rtl="0">
            <a:defRPr sz="1000"/>
          </a:pPr>
          <a:r>
            <a:rPr lang="en-US" sz="700" b="0" i="0" strike="noStrike">
              <a:solidFill>
                <a:srgbClr val="000000"/>
              </a:solidFill>
              <a:latin typeface="Arial"/>
              <a:cs typeface="Arial"/>
            </a:rPr>
            <a:t>D</a:t>
          </a:r>
          <a:r>
            <a:rPr lang="en-US" sz="700" b="0" i="0" strike="noStrike" baseline="-25000">
              <a:solidFill>
                <a:srgbClr val="000000"/>
              </a:solidFill>
              <a:latin typeface="Arial"/>
              <a:cs typeface="Arial"/>
            </a:rPr>
            <a:t>w</a:t>
          </a:r>
          <a:r>
            <a:rPr lang="en-US" sz="700" b="0" i="0" strike="noStrike">
              <a:solidFill>
                <a:srgbClr val="000000"/>
              </a:solidFill>
              <a:latin typeface="Arial"/>
              <a:cs typeface="Arial"/>
            </a:rPr>
            <a:t> thick wearing course</a:t>
          </a:r>
        </a:p>
      </xdr:txBody>
    </xdr:sp>
    <xdr:clientData/>
  </xdr:twoCellAnchor>
  <xdr:twoCellAnchor editAs="oneCell">
    <xdr:from>
      <xdr:col>9</xdr:col>
      <xdr:colOff>676275</xdr:colOff>
      <xdr:row>0</xdr:row>
      <xdr:rowOff>0</xdr:rowOff>
    </xdr:from>
    <xdr:to>
      <xdr:col>10</xdr:col>
      <xdr:colOff>9525</xdr:colOff>
      <xdr:row>0</xdr:row>
      <xdr:rowOff>0</xdr:rowOff>
    </xdr:to>
    <xdr:sp macro="" textlink="">
      <xdr:nvSpPr>
        <xdr:cNvPr id="180" name="Line 2">
          <a:extLst>
            <a:ext uri="{FF2B5EF4-FFF2-40B4-BE49-F238E27FC236}">
              <a16:creationId xmlns:a16="http://schemas.microsoft.com/office/drawing/2014/main" id="{00000000-0008-0000-0100-0000B4000000}"/>
            </a:ext>
          </a:extLst>
        </xdr:cNvPr>
        <xdr:cNvSpPr>
          <a:spLocks noChangeShapeType="1"/>
        </xdr:cNvSpPr>
      </xdr:nvSpPr>
      <xdr:spPr bwMode="auto">
        <a:xfrm>
          <a:off x="6096000" y="16792575"/>
          <a:ext cx="95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9</xdr:col>
      <xdr:colOff>676275</xdr:colOff>
      <xdr:row>0</xdr:row>
      <xdr:rowOff>0</xdr:rowOff>
    </xdr:from>
    <xdr:to>
      <xdr:col>10</xdr:col>
      <xdr:colOff>9525</xdr:colOff>
      <xdr:row>0</xdr:row>
      <xdr:rowOff>0</xdr:rowOff>
    </xdr:to>
    <xdr:sp macro="" textlink="">
      <xdr:nvSpPr>
        <xdr:cNvPr id="271" name="Line 2">
          <a:extLst>
            <a:ext uri="{FF2B5EF4-FFF2-40B4-BE49-F238E27FC236}">
              <a16:creationId xmlns:a16="http://schemas.microsoft.com/office/drawing/2014/main" id="{00000000-0008-0000-0100-00000F010000}"/>
            </a:ext>
          </a:extLst>
        </xdr:cNvPr>
        <xdr:cNvSpPr>
          <a:spLocks noChangeShapeType="1"/>
        </xdr:cNvSpPr>
      </xdr:nvSpPr>
      <xdr:spPr bwMode="auto">
        <a:xfrm>
          <a:off x="6096000" y="22974300"/>
          <a:ext cx="95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219075</xdr:colOff>
      <xdr:row>71</xdr:row>
      <xdr:rowOff>152400</xdr:rowOff>
    </xdr:from>
    <xdr:to>
      <xdr:col>4</xdr:col>
      <xdr:colOff>200025</xdr:colOff>
      <xdr:row>75</xdr:row>
      <xdr:rowOff>133348</xdr:rowOff>
    </xdr:to>
    <xdr:grpSp>
      <xdr:nvGrpSpPr>
        <xdr:cNvPr id="18" name="Group 17">
          <a:extLst>
            <a:ext uri="{FF2B5EF4-FFF2-40B4-BE49-F238E27FC236}">
              <a16:creationId xmlns:a16="http://schemas.microsoft.com/office/drawing/2014/main" id="{00000000-0008-0000-0500-000012000000}"/>
            </a:ext>
          </a:extLst>
        </xdr:cNvPr>
        <xdr:cNvGrpSpPr/>
      </xdr:nvGrpSpPr>
      <xdr:grpSpPr>
        <a:xfrm>
          <a:off x="2023410" y="10045045"/>
          <a:ext cx="672101" cy="535094"/>
          <a:chOff x="1924050" y="21097875"/>
          <a:chExt cx="590550" cy="628648"/>
        </a:xfrm>
      </xdr:grpSpPr>
      <xdr:grpSp>
        <xdr:nvGrpSpPr>
          <xdr:cNvPr id="2" name="Group 1">
            <a:extLst>
              <a:ext uri="{FF2B5EF4-FFF2-40B4-BE49-F238E27FC236}">
                <a16:creationId xmlns:a16="http://schemas.microsoft.com/office/drawing/2014/main" id="{00000000-0008-0000-0500-000002000000}"/>
              </a:ext>
            </a:extLst>
          </xdr:cNvPr>
          <xdr:cNvGrpSpPr/>
        </xdr:nvGrpSpPr>
        <xdr:grpSpPr>
          <a:xfrm>
            <a:off x="2066132" y="21097875"/>
            <a:ext cx="372269" cy="628648"/>
            <a:chOff x="2513806" y="10058400"/>
            <a:chExt cx="486569" cy="742948"/>
          </a:xfrm>
        </xdr:grpSpPr>
        <xdr:cxnSp macro="">
          <xdr:nvCxnSpPr>
            <xdr:cNvPr id="3" name="Straight Connector 2">
              <a:extLst>
                <a:ext uri="{FF2B5EF4-FFF2-40B4-BE49-F238E27FC236}">
                  <a16:creationId xmlns:a16="http://schemas.microsoft.com/office/drawing/2014/main" id="{00000000-0008-0000-0500-000003000000}"/>
                </a:ext>
              </a:extLst>
            </xdr:cNvPr>
            <xdr:cNvCxnSpPr/>
          </xdr:nvCxnSpPr>
          <xdr:spPr>
            <a:xfrm rot="5400000">
              <a:off x="2152650" y="10429875"/>
              <a:ext cx="723900" cy="1588"/>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4" name="Straight Connector 3">
              <a:extLst>
                <a:ext uri="{FF2B5EF4-FFF2-40B4-BE49-F238E27FC236}">
                  <a16:creationId xmlns:a16="http://schemas.microsoft.com/office/drawing/2014/main" id="{00000000-0008-0000-0500-000004000000}"/>
                </a:ext>
              </a:extLst>
            </xdr:cNvPr>
            <xdr:cNvCxnSpPr/>
          </xdr:nvCxnSpPr>
          <xdr:spPr>
            <a:xfrm flipV="1">
              <a:off x="2514600" y="10058400"/>
              <a:ext cx="295275" cy="866"/>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5" name="Straight Connector 4">
              <a:extLst>
                <a:ext uri="{FF2B5EF4-FFF2-40B4-BE49-F238E27FC236}">
                  <a16:creationId xmlns:a16="http://schemas.microsoft.com/office/drawing/2014/main" id="{00000000-0008-0000-0500-000005000000}"/>
                </a:ext>
              </a:extLst>
            </xdr:cNvPr>
            <xdr:cNvCxnSpPr/>
          </xdr:nvCxnSpPr>
          <xdr:spPr>
            <a:xfrm rot="16200000" flipH="1">
              <a:off x="2533650" y="10344148"/>
              <a:ext cx="733425" cy="180975"/>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6" name="Straight Connector 5">
              <a:extLst>
                <a:ext uri="{FF2B5EF4-FFF2-40B4-BE49-F238E27FC236}">
                  <a16:creationId xmlns:a16="http://schemas.microsoft.com/office/drawing/2014/main" id="{00000000-0008-0000-0500-000006000000}"/>
                </a:ext>
              </a:extLst>
            </xdr:cNvPr>
            <xdr:cNvCxnSpPr/>
          </xdr:nvCxnSpPr>
          <xdr:spPr>
            <a:xfrm>
              <a:off x="2514600" y="10772775"/>
              <a:ext cx="485775" cy="1588"/>
            </a:xfrm>
            <a:prstGeom prst="line">
              <a:avLst/>
            </a:prstGeom>
          </xdr:spPr>
          <xdr:style>
            <a:lnRef idx="1">
              <a:schemeClr val="dk1"/>
            </a:lnRef>
            <a:fillRef idx="0">
              <a:schemeClr val="dk1"/>
            </a:fillRef>
            <a:effectRef idx="0">
              <a:schemeClr val="dk1"/>
            </a:effectRef>
            <a:fontRef idx="minor">
              <a:schemeClr val="tx1"/>
            </a:fontRef>
          </xdr:style>
        </xdr:cxnSp>
      </xdr:grpSp>
      <xdr:cxnSp macro="">
        <xdr:nvCxnSpPr>
          <xdr:cNvPr id="7" name="Straight Connector 6">
            <a:extLst>
              <a:ext uri="{FF2B5EF4-FFF2-40B4-BE49-F238E27FC236}">
                <a16:creationId xmlns:a16="http://schemas.microsoft.com/office/drawing/2014/main" id="{00000000-0008-0000-0500-000007000000}"/>
              </a:ext>
            </a:extLst>
          </xdr:cNvPr>
          <xdr:cNvCxnSpPr/>
        </xdr:nvCxnSpPr>
        <xdr:spPr>
          <a:xfrm>
            <a:off x="1924050" y="21440775"/>
            <a:ext cx="590550" cy="0"/>
          </a:xfrm>
          <a:prstGeom prst="line">
            <a:avLst/>
          </a:prstGeom>
          <a:ln/>
        </xdr:spPr>
        <xdr:style>
          <a:lnRef idx="1">
            <a:schemeClr val="dk1"/>
          </a:lnRef>
          <a:fillRef idx="0">
            <a:schemeClr val="dk1"/>
          </a:fillRef>
          <a:effectRef idx="0">
            <a:schemeClr val="dk1"/>
          </a:effectRef>
          <a:fontRef idx="minor">
            <a:schemeClr val="tx1"/>
          </a:fontRef>
        </xdr:style>
      </xdr:cxnSp>
    </xdr:grpSp>
    <xdr:clientData/>
  </xdr:twoCellAnchor>
  <xdr:twoCellAnchor>
    <xdr:from>
      <xdr:col>5</xdr:col>
      <xdr:colOff>219075</xdr:colOff>
      <xdr:row>71</xdr:row>
      <xdr:rowOff>152400</xdr:rowOff>
    </xdr:from>
    <xdr:to>
      <xdr:col>6</xdr:col>
      <xdr:colOff>200025</xdr:colOff>
      <xdr:row>75</xdr:row>
      <xdr:rowOff>133348</xdr:rowOff>
    </xdr:to>
    <xdr:grpSp>
      <xdr:nvGrpSpPr>
        <xdr:cNvPr id="19" name="Group 18">
          <a:extLst>
            <a:ext uri="{FF2B5EF4-FFF2-40B4-BE49-F238E27FC236}">
              <a16:creationId xmlns:a16="http://schemas.microsoft.com/office/drawing/2014/main" id="{00000000-0008-0000-0500-000013000000}"/>
            </a:ext>
          </a:extLst>
        </xdr:cNvPr>
        <xdr:cNvGrpSpPr/>
      </xdr:nvGrpSpPr>
      <xdr:grpSpPr>
        <a:xfrm>
          <a:off x="3472993" y="10045045"/>
          <a:ext cx="665986" cy="535094"/>
          <a:chOff x="1924050" y="21097875"/>
          <a:chExt cx="590550" cy="628648"/>
        </a:xfrm>
      </xdr:grpSpPr>
      <xdr:grpSp>
        <xdr:nvGrpSpPr>
          <xdr:cNvPr id="20" name="Group 19">
            <a:extLst>
              <a:ext uri="{FF2B5EF4-FFF2-40B4-BE49-F238E27FC236}">
                <a16:creationId xmlns:a16="http://schemas.microsoft.com/office/drawing/2014/main" id="{00000000-0008-0000-0500-000014000000}"/>
              </a:ext>
            </a:extLst>
          </xdr:cNvPr>
          <xdr:cNvGrpSpPr/>
        </xdr:nvGrpSpPr>
        <xdr:grpSpPr>
          <a:xfrm>
            <a:off x="2066132" y="21097875"/>
            <a:ext cx="372269" cy="628648"/>
            <a:chOff x="2513806" y="10058400"/>
            <a:chExt cx="486569" cy="742948"/>
          </a:xfrm>
        </xdr:grpSpPr>
        <xdr:cxnSp macro="">
          <xdr:nvCxnSpPr>
            <xdr:cNvPr id="22" name="Straight Connector 21">
              <a:extLst>
                <a:ext uri="{FF2B5EF4-FFF2-40B4-BE49-F238E27FC236}">
                  <a16:creationId xmlns:a16="http://schemas.microsoft.com/office/drawing/2014/main" id="{00000000-0008-0000-0500-000016000000}"/>
                </a:ext>
              </a:extLst>
            </xdr:cNvPr>
            <xdr:cNvCxnSpPr/>
          </xdr:nvCxnSpPr>
          <xdr:spPr>
            <a:xfrm rot="5400000">
              <a:off x="2152650" y="10429875"/>
              <a:ext cx="723900" cy="1588"/>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23" name="Straight Connector 22">
              <a:extLst>
                <a:ext uri="{FF2B5EF4-FFF2-40B4-BE49-F238E27FC236}">
                  <a16:creationId xmlns:a16="http://schemas.microsoft.com/office/drawing/2014/main" id="{00000000-0008-0000-0500-000017000000}"/>
                </a:ext>
              </a:extLst>
            </xdr:cNvPr>
            <xdr:cNvCxnSpPr/>
          </xdr:nvCxnSpPr>
          <xdr:spPr>
            <a:xfrm flipV="1">
              <a:off x="2514600" y="10058400"/>
              <a:ext cx="295275" cy="866"/>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24" name="Straight Connector 23">
              <a:extLst>
                <a:ext uri="{FF2B5EF4-FFF2-40B4-BE49-F238E27FC236}">
                  <a16:creationId xmlns:a16="http://schemas.microsoft.com/office/drawing/2014/main" id="{00000000-0008-0000-0500-000018000000}"/>
                </a:ext>
              </a:extLst>
            </xdr:cNvPr>
            <xdr:cNvCxnSpPr/>
          </xdr:nvCxnSpPr>
          <xdr:spPr>
            <a:xfrm rot="16200000" flipH="1">
              <a:off x="2533650" y="10344148"/>
              <a:ext cx="733425" cy="180975"/>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25" name="Straight Connector 24">
              <a:extLst>
                <a:ext uri="{FF2B5EF4-FFF2-40B4-BE49-F238E27FC236}">
                  <a16:creationId xmlns:a16="http://schemas.microsoft.com/office/drawing/2014/main" id="{00000000-0008-0000-0500-000019000000}"/>
                </a:ext>
              </a:extLst>
            </xdr:cNvPr>
            <xdr:cNvCxnSpPr/>
          </xdr:nvCxnSpPr>
          <xdr:spPr>
            <a:xfrm>
              <a:off x="2514600" y="10772775"/>
              <a:ext cx="485775" cy="1588"/>
            </a:xfrm>
            <a:prstGeom prst="line">
              <a:avLst/>
            </a:prstGeom>
          </xdr:spPr>
          <xdr:style>
            <a:lnRef idx="1">
              <a:schemeClr val="dk1"/>
            </a:lnRef>
            <a:fillRef idx="0">
              <a:schemeClr val="dk1"/>
            </a:fillRef>
            <a:effectRef idx="0">
              <a:schemeClr val="dk1"/>
            </a:effectRef>
            <a:fontRef idx="minor">
              <a:schemeClr val="tx1"/>
            </a:fontRef>
          </xdr:style>
        </xdr:cxnSp>
      </xdr:grpSp>
      <xdr:cxnSp macro="">
        <xdr:nvCxnSpPr>
          <xdr:cNvPr id="21" name="Straight Connector 20">
            <a:extLst>
              <a:ext uri="{FF2B5EF4-FFF2-40B4-BE49-F238E27FC236}">
                <a16:creationId xmlns:a16="http://schemas.microsoft.com/office/drawing/2014/main" id="{00000000-0008-0000-0500-000015000000}"/>
              </a:ext>
            </a:extLst>
          </xdr:cNvPr>
          <xdr:cNvCxnSpPr/>
        </xdr:nvCxnSpPr>
        <xdr:spPr>
          <a:xfrm>
            <a:off x="1924050" y="21440775"/>
            <a:ext cx="590550" cy="0"/>
          </a:xfrm>
          <a:prstGeom prst="line">
            <a:avLst/>
          </a:prstGeom>
          <a:ln/>
        </xdr:spPr>
        <xdr:style>
          <a:lnRef idx="1">
            <a:schemeClr val="dk1"/>
          </a:lnRef>
          <a:fillRef idx="0">
            <a:schemeClr val="dk1"/>
          </a:fillRef>
          <a:effectRef idx="0">
            <a:schemeClr val="dk1"/>
          </a:effectRef>
          <a:fontRef idx="minor">
            <a:schemeClr val="tx1"/>
          </a:fontRef>
        </xdr:style>
      </xdr:cxnSp>
    </xdr:grpSp>
    <xdr:clientData/>
  </xdr:twoCellAnchor>
  <xdr:twoCellAnchor>
    <xdr:from>
      <xdr:col>7</xdr:col>
      <xdr:colOff>219075</xdr:colOff>
      <xdr:row>71</xdr:row>
      <xdr:rowOff>152400</xdr:rowOff>
    </xdr:from>
    <xdr:to>
      <xdr:col>8</xdr:col>
      <xdr:colOff>200025</xdr:colOff>
      <xdr:row>75</xdr:row>
      <xdr:rowOff>133348</xdr:rowOff>
    </xdr:to>
    <xdr:grpSp>
      <xdr:nvGrpSpPr>
        <xdr:cNvPr id="26" name="Group 25">
          <a:extLst>
            <a:ext uri="{FF2B5EF4-FFF2-40B4-BE49-F238E27FC236}">
              <a16:creationId xmlns:a16="http://schemas.microsoft.com/office/drawing/2014/main" id="{00000000-0008-0000-0500-00001A000000}"/>
            </a:ext>
          </a:extLst>
        </xdr:cNvPr>
        <xdr:cNvGrpSpPr/>
      </xdr:nvGrpSpPr>
      <xdr:grpSpPr>
        <a:xfrm>
          <a:off x="4898112" y="10045045"/>
          <a:ext cx="635403" cy="535094"/>
          <a:chOff x="1924050" y="21097875"/>
          <a:chExt cx="590550" cy="628648"/>
        </a:xfrm>
      </xdr:grpSpPr>
      <xdr:grpSp>
        <xdr:nvGrpSpPr>
          <xdr:cNvPr id="27" name="Group 26">
            <a:extLst>
              <a:ext uri="{FF2B5EF4-FFF2-40B4-BE49-F238E27FC236}">
                <a16:creationId xmlns:a16="http://schemas.microsoft.com/office/drawing/2014/main" id="{00000000-0008-0000-0500-00001B000000}"/>
              </a:ext>
            </a:extLst>
          </xdr:cNvPr>
          <xdr:cNvGrpSpPr/>
        </xdr:nvGrpSpPr>
        <xdr:grpSpPr>
          <a:xfrm>
            <a:off x="2066132" y="21097875"/>
            <a:ext cx="372269" cy="628648"/>
            <a:chOff x="2513806" y="10058400"/>
            <a:chExt cx="486569" cy="742948"/>
          </a:xfrm>
        </xdr:grpSpPr>
        <xdr:cxnSp macro="">
          <xdr:nvCxnSpPr>
            <xdr:cNvPr id="29" name="Straight Connector 28">
              <a:extLst>
                <a:ext uri="{FF2B5EF4-FFF2-40B4-BE49-F238E27FC236}">
                  <a16:creationId xmlns:a16="http://schemas.microsoft.com/office/drawing/2014/main" id="{00000000-0008-0000-0500-00001D000000}"/>
                </a:ext>
              </a:extLst>
            </xdr:cNvPr>
            <xdr:cNvCxnSpPr/>
          </xdr:nvCxnSpPr>
          <xdr:spPr>
            <a:xfrm rot="5400000">
              <a:off x="2152650" y="10429875"/>
              <a:ext cx="723900" cy="1588"/>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30" name="Straight Connector 29">
              <a:extLst>
                <a:ext uri="{FF2B5EF4-FFF2-40B4-BE49-F238E27FC236}">
                  <a16:creationId xmlns:a16="http://schemas.microsoft.com/office/drawing/2014/main" id="{00000000-0008-0000-0500-00001E000000}"/>
                </a:ext>
              </a:extLst>
            </xdr:cNvPr>
            <xdr:cNvCxnSpPr/>
          </xdr:nvCxnSpPr>
          <xdr:spPr>
            <a:xfrm flipV="1">
              <a:off x="2514600" y="10058400"/>
              <a:ext cx="295275" cy="866"/>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31" name="Straight Connector 30">
              <a:extLst>
                <a:ext uri="{FF2B5EF4-FFF2-40B4-BE49-F238E27FC236}">
                  <a16:creationId xmlns:a16="http://schemas.microsoft.com/office/drawing/2014/main" id="{00000000-0008-0000-0500-00001F000000}"/>
                </a:ext>
              </a:extLst>
            </xdr:cNvPr>
            <xdr:cNvCxnSpPr/>
          </xdr:nvCxnSpPr>
          <xdr:spPr>
            <a:xfrm rot="16200000" flipH="1">
              <a:off x="2533650" y="10344148"/>
              <a:ext cx="733425" cy="180975"/>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32" name="Straight Connector 31">
              <a:extLst>
                <a:ext uri="{FF2B5EF4-FFF2-40B4-BE49-F238E27FC236}">
                  <a16:creationId xmlns:a16="http://schemas.microsoft.com/office/drawing/2014/main" id="{00000000-0008-0000-0500-000020000000}"/>
                </a:ext>
              </a:extLst>
            </xdr:cNvPr>
            <xdr:cNvCxnSpPr/>
          </xdr:nvCxnSpPr>
          <xdr:spPr>
            <a:xfrm>
              <a:off x="2514600" y="10772775"/>
              <a:ext cx="485775" cy="1588"/>
            </a:xfrm>
            <a:prstGeom prst="line">
              <a:avLst/>
            </a:prstGeom>
          </xdr:spPr>
          <xdr:style>
            <a:lnRef idx="1">
              <a:schemeClr val="dk1"/>
            </a:lnRef>
            <a:fillRef idx="0">
              <a:schemeClr val="dk1"/>
            </a:fillRef>
            <a:effectRef idx="0">
              <a:schemeClr val="dk1"/>
            </a:effectRef>
            <a:fontRef idx="minor">
              <a:schemeClr val="tx1"/>
            </a:fontRef>
          </xdr:style>
        </xdr:cxnSp>
      </xdr:grpSp>
      <xdr:cxnSp macro="">
        <xdr:nvCxnSpPr>
          <xdr:cNvPr id="28" name="Straight Connector 27">
            <a:extLst>
              <a:ext uri="{FF2B5EF4-FFF2-40B4-BE49-F238E27FC236}">
                <a16:creationId xmlns:a16="http://schemas.microsoft.com/office/drawing/2014/main" id="{00000000-0008-0000-0500-00001C000000}"/>
              </a:ext>
            </a:extLst>
          </xdr:cNvPr>
          <xdr:cNvCxnSpPr/>
        </xdr:nvCxnSpPr>
        <xdr:spPr>
          <a:xfrm>
            <a:off x="1924050" y="21440775"/>
            <a:ext cx="590550" cy="0"/>
          </a:xfrm>
          <a:prstGeom prst="line">
            <a:avLst/>
          </a:prstGeom>
          <a:ln/>
        </xdr:spPr>
        <xdr:style>
          <a:lnRef idx="1">
            <a:schemeClr val="dk1"/>
          </a:lnRef>
          <a:fillRef idx="0">
            <a:schemeClr val="dk1"/>
          </a:fillRef>
          <a:effectRef idx="0">
            <a:schemeClr val="dk1"/>
          </a:effectRef>
          <a:fontRef idx="minor">
            <a:schemeClr val="tx1"/>
          </a:fontRef>
        </xdr:style>
      </xdr:cxnSp>
    </xdr:grpSp>
    <xdr:clientData/>
  </xdr:twoCellAnchor>
  <xdr:twoCellAnchor>
    <xdr:from>
      <xdr:col>9</xdr:col>
      <xdr:colOff>219075</xdr:colOff>
      <xdr:row>71</xdr:row>
      <xdr:rowOff>152400</xdr:rowOff>
    </xdr:from>
    <xdr:to>
      <xdr:col>10</xdr:col>
      <xdr:colOff>200025</xdr:colOff>
      <xdr:row>75</xdr:row>
      <xdr:rowOff>133348</xdr:rowOff>
    </xdr:to>
    <xdr:grpSp>
      <xdr:nvGrpSpPr>
        <xdr:cNvPr id="33" name="Group 32">
          <a:extLst>
            <a:ext uri="{FF2B5EF4-FFF2-40B4-BE49-F238E27FC236}">
              <a16:creationId xmlns:a16="http://schemas.microsoft.com/office/drawing/2014/main" id="{00000000-0008-0000-0500-000021000000}"/>
            </a:ext>
          </a:extLst>
        </xdr:cNvPr>
        <xdr:cNvGrpSpPr/>
      </xdr:nvGrpSpPr>
      <xdr:grpSpPr>
        <a:xfrm>
          <a:off x="6170320" y="10045045"/>
          <a:ext cx="598706" cy="535094"/>
          <a:chOff x="1924050" y="21097875"/>
          <a:chExt cx="590550" cy="628648"/>
        </a:xfrm>
      </xdr:grpSpPr>
      <xdr:grpSp>
        <xdr:nvGrpSpPr>
          <xdr:cNvPr id="34" name="Group 33">
            <a:extLst>
              <a:ext uri="{FF2B5EF4-FFF2-40B4-BE49-F238E27FC236}">
                <a16:creationId xmlns:a16="http://schemas.microsoft.com/office/drawing/2014/main" id="{00000000-0008-0000-0500-000022000000}"/>
              </a:ext>
            </a:extLst>
          </xdr:cNvPr>
          <xdr:cNvGrpSpPr/>
        </xdr:nvGrpSpPr>
        <xdr:grpSpPr>
          <a:xfrm>
            <a:off x="2066132" y="21097875"/>
            <a:ext cx="372269" cy="628648"/>
            <a:chOff x="2513806" y="10058400"/>
            <a:chExt cx="486569" cy="742948"/>
          </a:xfrm>
        </xdr:grpSpPr>
        <xdr:cxnSp macro="">
          <xdr:nvCxnSpPr>
            <xdr:cNvPr id="36" name="Straight Connector 35">
              <a:extLst>
                <a:ext uri="{FF2B5EF4-FFF2-40B4-BE49-F238E27FC236}">
                  <a16:creationId xmlns:a16="http://schemas.microsoft.com/office/drawing/2014/main" id="{00000000-0008-0000-0500-000024000000}"/>
                </a:ext>
              </a:extLst>
            </xdr:cNvPr>
            <xdr:cNvCxnSpPr/>
          </xdr:nvCxnSpPr>
          <xdr:spPr>
            <a:xfrm rot="5400000">
              <a:off x="2152650" y="10429875"/>
              <a:ext cx="723900" cy="1588"/>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37" name="Straight Connector 36">
              <a:extLst>
                <a:ext uri="{FF2B5EF4-FFF2-40B4-BE49-F238E27FC236}">
                  <a16:creationId xmlns:a16="http://schemas.microsoft.com/office/drawing/2014/main" id="{00000000-0008-0000-0500-000025000000}"/>
                </a:ext>
              </a:extLst>
            </xdr:cNvPr>
            <xdr:cNvCxnSpPr/>
          </xdr:nvCxnSpPr>
          <xdr:spPr>
            <a:xfrm flipV="1">
              <a:off x="2514600" y="10058400"/>
              <a:ext cx="295275" cy="866"/>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38" name="Straight Connector 37">
              <a:extLst>
                <a:ext uri="{FF2B5EF4-FFF2-40B4-BE49-F238E27FC236}">
                  <a16:creationId xmlns:a16="http://schemas.microsoft.com/office/drawing/2014/main" id="{00000000-0008-0000-0500-000026000000}"/>
                </a:ext>
              </a:extLst>
            </xdr:cNvPr>
            <xdr:cNvCxnSpPr/>
          </xdr:nvCxnSpPr>
          <xdr:spPr>
            <a:xfrm rot="16200000" flipH="1">
              <a:off x="2533650" y="10344148"/>
              <a:ext cx="733425" cy="180975"/>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39" name="Straight Connector 38">
              <a:extLst>
                <a:ext uri="{FF2B5EF4-FFF2-40B4-BE49-F238E27FC236}">
                  <a16:creationId xmlns:a16="http://schemas.microsoft.com/office/drawing/2014/main" id="{00000000-0008-0000-0500-000027000000}"/>
                </a:ext>
              </a:extLst>
            </xdr:cNvPr>
            <xdr:cNvCxnSpPr/>
          </xdr:nvCxnSpPr>
          <xdr:spPr>
            <a:xfrm>
              <a:off x="2514600" y="10772775"/>
              <a:ext cx="485775" cy="1588"/>
            </a:xfrm>
            <a:prstGeom prst="line">
              <a:avLst/>
            </a:prstGeom>
          </xdr:spPr>
          <xdr:style>
            <a:lnRef idx="1">
              <a:schemeClr val="dk1"/>
            </a:lnRef>
            <a:fillRef idx="0">
              <a:schemeClr val="dk1"/>
            </a:fillRef>
            <a:effectRef idx="0">
              <a:schemeClr val="dk1"/>
            </a:effectRef>
            <a:fontRef idx="minor">
              <a:schemeClr val="tx1"/>
            </a:fontRef>
          </xdr:style>
        </xdr:cxnSp>
      </xdr:grpSp>
      <xdr:cxnSp macro="">
        <xdr:nvCxnSpPr>
          <xdr:cNvPr id="35" name="Straight Connector 34">
            <a:extLst>
              <a:ext uri="{FF2B5EF4-FFF2-40B4-BE49-F238E27FC236}">
                <a16:creationId xmlns:a16="http://schemas.microsoft.com/office/drawing/2014/main" id="{00000000-0008-0000-0500-000023000000}"/>
              </a:ext>
            </a:extLst>
          </xdr:cNvPr>
          <xdr:cNvCxnSpPr/>
        </xdr:nvCxnSpPr>
        <xdr:spPr>
          <a:xfrm>
            <a:off x="1924050" y="21440775"/>
            <a:ext cx="590550" cy="0"/>
          </a:xfrm>
          <a:prstGeom prst="line">
            <a:avLst/>
          </a:prstGeom>
          <a:ln/>
        </xdr:spPr>
        <xdr:style>
          <a:lnRef idx="1">
            <a:schemeClr val="dk1"/>
          </a:lnRef>
          <a:fillRef idx="0">
            <a:schemeClr val="dk1"/>
          </a:fillRef>
          <a:effectRef idx="0">
            <a:schemeClr val="dk1"/>
          </a:effectRef>
          <a:fontRef idx="minor">
            <a:schemeClr val="tx1"/>
          </a:fontRef>
        </xdr:style>
      </xdr:cxnSp>
    </xdr:grpSp>
    <xdr:clientData/>
  </xdr:twoCellAnchor>
  <xdr:twoCellAnchor>
    <xdr:from>
      <xdr:col>3</xdr:col>
      <xdr:colOff>209550</xdr:colOff>
      <xdr:row>93</xdr:row>
      <xdr:rowOff>76200</xdr:rowOff>
    </xdr:from>
    <xdr:to>
      <xdr:col>4</xdr:col>
      <xdr:colOff>190500</xdr:colOff>
      <xdr:row>97</xdr:row>
      <xdr:rowOff>57148</xdr:rowOff>
    </xdr:to>
    <xdr:grpSp>
      <xdr:nvGrpSpPr>
        <xdr:cNvPr id="47" name="Group 46">
          <a:extLst>
            <a:ext uri="{FF2B5EF4-FFF2-40B4-BE49-F238E27FC236}">
              <a16:creationId xmlns:a16="http://schemas.microsoft.com/office/drawing/2014/main" id="{00000000-0008-0000-0500-00002F000000}"/>
            </a:ext>
          </a:extLst>
        </xdr:cNvPr>
        <xdr:cNvGrpSpPr/>
      </xdr:nvGrpSpPr>
      <xdr:grpSpPr>
        <a:xfrm>
          <a:off x="2013885" y="12994012"/>
          <a:ext cx="672101" cy="543655"/>
          <a:chOff x="1924050" y="21097875"/>
          <a:chExt cx="590550" cy="628648"/>
        </a:xfrm>
      </xdr:grpSpPr>
      <xdr:grpSp>
        <xdr:nvGrpSpPr>
          <xdr:cNvPr id="48" name="Group 47">
            <a:extLst>
              <a:ext uri="{FF2B5EF4-FFF2-40B4-BE49-F238E27FC236}">
                <a16:creationId xmlns:a16="http://schemas.microsoft.com/office/drawing/2014/main" id="{00000000-0008-0000-0500-000030000000}"/>
              </a:ext>
            </a:extLst>
          </xdr:cNvPr>
          <xdr:cNvGrpSpPr/>
        </xdr:nvGrpSpPr>
        <xdr:grpSpPr>
          <a:xfrm>
            <a:off x="2066132" y="21097875"/>
            <a:ext cx="372269" cy="628648"/>
            <a:chOff x="2513806" y="10058400"/>
            <a:chExt cx="486569" cy="742948"/>
          </a:xfrm>
        </xdr:grpSpPr>
        <xdr:cxnSp macro="">
          <xdr:nvCxnSpPr>
            <xdr:cNvPr id="50" name="Straight Connector 49">
              <a:extLst>
                <a:ext uri="{FF2B5EF4-FFF2-40B4-BE49-F238E27FC236}">
                  <a16:creationId xmlns:a16="http://schemas.microsoft.com/office/drawing/2014/main" id="{00000000-0008-0000-0500-000032000000}"/>
                </a:ext>
              </a:extLst>
            </xdr:cNvPr>
            <xdr:cNvCxnSpPr/>
          </xdr:nvCxnSpPr>
          <xdr:spPr>
            <a:xfrm rot="5400000">
              <a:off x="2152650" y="10429875"/>
              <a:ext cx="723900" cy="1588"/>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51" name="Straight Connector 50">
              <a:extLst>
                <a:ext uri="{FF2B5EF4-FFF2-40B4-BE49-F238E27FC236}">
                  <a16:creationId xmlns:a16="http://schemas.microsoft.com/office/drawing/2014/main" id="{00000000-0008-0000-0500-000033000000}"/>
                </a:ext>
              </a:extLst>
            </xdr:cNvPr>
            <xdr:cNvCxnSpPr/>
          </xdr:nvCxnSpPr>
          <xdr:spPr>
            <a:xfrm flipV="1">
              <a:off x="2514600" y="10058400"/>
              <a:ext cx="295275" cy="866"/>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52" name="Straight Connector 51">
              <a:extLst>
                <a:ext uri="{FF2B5EF4-FFF2-40B4-BE49-F238E27FC236}">
                  <a16:creationId xmlns:a16="http://schemas.microsoft.com/office/drawing/2014/main" id="{00000000-0008-0000-0500-000034000000}"/>
                </a:ext>
              </a:extLst>
            </xdr:cNvPr>
            <xdr:cNvCxnSpPr/>
          </xdr:nvCxnSpPr>
          <xdr:spPr>
            <a:xfrm rot="16200000" flipH="1">
              <a:off x="2533650" y="10344148"/>
              <a:ext cx="733425" cy="180975"/>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53" name="Straight Connector 52">
              <a:extLst>
                <a:ext uri="{FF2B5EF4-FFF2-40B4-BE49-F238E27FC236}">
                  <a16:creationId xmlns:a16="http://schemas.microsoft.com/office/drawing/2014/main" id="{00000000-0008-0000-0500-000035000000}"/>
                </a:ext>
              </a:extLst>
            </xdr:cNvPr>
            <xdr:cNvCxnSpPr/>
          </xdr:nvCxnSpPr>
          <xdr:spPr>
            <a:xfrm>
              <a:off x="2514600" y="10772775"/>
              <a:ext cx="485775" cy="1588"/>
            </a:xfrm>
            <a:prstGeom prst="line">
              <a:avLst/>
            </a:prstGeom>
          </xdr:spPr>
          <xdr:style>
            <a:lnRef idx="1">
              <a:schemeClr val="dk1"/>
            </a:lnRef>
            <a:fillRef idx="0">
              <a:schemeClr val="dk1"/>
            </a:fillRef>
            <a:effectRef idx="0">
              <a:schemeClr val="dk1"/>
            </a:effectRef>
            <a:fontRef idx="minor">
              <a:schemeClr val="tx1"/>
            </a:fontRef>
          </xdr:style>
        </xdr:cxnSp>
      </xdr:grpSp>
      <xdr:cxnSp macro="">
        <xdr:nvCxnSpPr>
          <xdr:cNvPr id="49" name="Straight Connector 48">
            <a:extLst>
              <a:ext uri="{FF2B5EF4-FFF2-40B4-BE49-F238E27FC236}">
                <a16:creationId xmlns:a16="http://schemas.microsoft.com/office/drawing/2014/main" id="{00000000-0008-0000-0500-000031000000}"/>
              </a:ext>
            </a:extLst>
          </xdr:cNvPr>
          <xdr:cNvCxnSpPr/>
        </xdr:nvCxnSpPr>
        <xdr:spPr>
          <a:xfrm>
            <a:off x="1924050" y="21440775"/>
            <a:ext cx="590550" cy="0"/>
          </a:xfrm>
          <a:prstGeom prst="line">
            <a:avLst/>
          </a:prstGeom>
          <a:ln/>
        </xdr:spPr>
        <xdr:style>
          <a:lnRef idx="1">
            <a:schemeClr val="dk1"/>
          </a:lnRef>
          <a:fillRef idx="0">
            <a:schemeClr val="dk1"/>
          </a:fillRef>
          <a:effectRef idx="0">
            <a:schemeClr val="dk1"/>
          </a:effectRef>
          <a:fontRef idx="minor">
            <a:schemeClr val="tx1"/>
          </a:fontRef>
        </xdr:style>
      </xdr:cxnSp>
    </xdr:grpSp>
    <xdr:clientData/>
  </xdr:twoCellAnchor>
  <xdr:twoCellAnchor>
    <xdr:from>
      <xdr:col>5</xdr:col>
      <xdr:colOff>190500</xdr:colOff>
      <xdr:row>93</xdr:row>
      <xdr:rowOff>76200</xdr:rowOff>
    </xdr:from>
    <xdr:to>
      <xdr:col>6</xdr:col>
      <xdr:colOff>171450</xdr:colOff>
      <xdr:row>97</xdr:row>
      <xdr:rowOff>57148</xdr:rowOff>
    </xdr:to>
    <xdr:grpSp>
      <xdr:nvGrpSpPr>
        <xdr:cNvPr id="54" name="Group 53">
          <a:extLst>
            <a:ext uri="{FF2B5EF4-FFF2-40B4-BE49-F238E27FC236}">
              <a16:creationId xmlns:a16="http://schemas.microsoft.com/office/drawing/2014/main" id="{00000000-0008-0000-0500-000036000000}"/>
            </a:ext>
          </a:extLst>
        </xdr:cNvPr>
        <xdr:cNvGrpSpPr/>
      </xdr:nvGrpSpPr>
      <xdr:grpSpPr>
        <a:xfrm>
          <a:off x="3444418" y="12994012"/>
          <a:ext cx="665986" cy="543655"/>
          <a:chOff x="1924050" y="21097875"/>
          <a:chExt cx="590550" cy="628648"/>
        </a:xfrm>
      </xdr:grpSpPr>
      <xdr:grpSp>
        <xdr:nvGrpSpPr>
          <xdr:cNvPr id="55" name="Group 54">
            <a:extLst>
              <a:ext uri="{FF2B5EF4-FFF2-40B4-BE49-F238E27FC236}">
                <a16:creationId xmlns:a16="http://schemas.microsoft.com/office/drawing/2014/main" id="{00000000-0008-0000-0500-000037000000}"/>
              </a:ext>
            </a:extLst>
          </xdr:cNvPr>
          <xdr:cNvGrpSpPr/>
        </xdr:nvGrpSpPr>
        <xdr:grpSpPr>
          <a:xfrm>
            <a:off x="2066132" y="21097875"/>
            <a:ext cx="372269" cy="628648"/>
            <a:chOff x="2513806" y="10058400"/>
            <a:chExt cx="486569" cy="742948"/>
          </a:xfrm>
        </xdr:grpSpPr>
        <xdr:cxnSp macro="">
          <xdr:nvCxnSpPr>
            <xdr:cNvPr id="57" name="Straight Connector 56">
              <a:extLst>
                <a:ext uri="{FF2B5EF4-FFF2-40B4-BE49-F238E27FC236}">
                  <a16:creationId xmlns:a16="http://schemas.microsoft.com/office/drawing/2014/main" id="{00000000-0008-0000-0500-000039000000}"/>
                </a:ext>
              </a:extLst>
            </xdr:cNvPr>
            <xdr:cNvCxnSpPr/>
          </xdr:nvCxnSpPr>
          <xdr:spPr>
            <a:xfrm rot="5400000">
              <a:off x="2152650" y="10429875"/>
              <a:ext cx="723900" cy="1588"/>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58" name="Straight Connector 57">
              <a:extLst>
                <a:ext uri="{FF2B5EF4-FFF2-40B4-BE49-F238E27FC236}">
                  <a16:creationId xmlns:a16="http://schemas.microsoft.com/office/drawing/2014/main" id="{00000000-0008-0000-0500-00003A000000}"/>
                </a:ext>
              </a:extLst>
            </xdr:cNvPr>
            <xdr:cNvCxnSpPr/>
          </xdr:nvCxnSpPr>
          <xdr:spPr>
            <a:xfrm flipV="1">
              <a:off x="2514600" y="10058400"/>
              <a:ext cx="295275" cy="866"/>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59" name="Straight Connector 58">
              <a:extLst>
                <a:ext uri="{FF2B5EF4-FFF2-40B4-BE49-F238E27FC236}">
                  <a16:creationId xmlns:a16="http://schemas.microsoft.com/office/drawing/2014/main" id="{00000000-0008-0000-0500-00003B000000}"/>
                </a:ext>
              </a:extLst>
            </xdr:cNvPr>
            <xdr:cNvCxnSpPr/>
          </xdr:nvCxnSpPr>
          <xdr:spPr>
            <a:xfrm rot="16200000" flipH="1">
              <a:off x="2533650" y="10344148"/>
              <a:ext cx="733425" cy="180975"/>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60" name="Straight Connector 59">
              <a:extLst>
                <a:ext uri="{FF2B5EF4-FFF2-40B4-BE49-F238E27FC236}">
                  <a16:creationId xmlns:a16="http://schemas.microsoft.com/office/drawing/2014/main" id="{00000000-0008-0000-0500-00003C000000}"/>
                </a:ext>
              </a:extLst>
            </xdr:cNvPr>
            <xdr:cNvCxnSpPr/>
          </xdr:nvCxnSpPr>
          <xdr:spPr>
            <a:xfrm>
              <a:off x="2514600" y="10772775"/>
              <a:ext cx="485775" cy="1588"/>
            </a:xfrm>
            <a:prstGeom prst="line">
              <a:avLst/>
            </a:prstGeom>
          </xdr:spPr>
          <xdr:style>
            <a:lnRef idx="1">
              <a:schemeClr val="dk1"/>
            </a:lnRef>
            <a:fillRef idx="0">
              <a:schemeClr val="dk1"/>
            </a:fillRef>
            <a:effectRef idx="0">
              <a:schemeClr val="dk1"/>
            </a:effectRef>
            <a:fontRef idx="minor">
              <a:schemeClr val="tx1"/>
            </a:fontRef>
          </xdr:style>
        </xdr:cxnSp>
      </xdr:grpSp>
      <xdr:cxnSp macro="">
        <xdr:nvCxnSpPr>
          <xdr:cNvPr id="56" name="Straight Connector 55">
            <a:extLst>
              <a:ext uri="{FF2B5EF4-FFF2-40B4-BE49-F238E27FC236}">
                <a16:creationId xmlns:a16="http://schemas.microsoft.com/office/drawing/2014/main" id="{00000000-0008-0000-0500-000038000000}"/>
              </a:ext>
            </a:extLst>
          </xdr:cNvPr>
          <xdr:cNvCxnSpPr/>
        </xdr:nvCxnSpPr>
        <xdr:spPr>
          <a:xfrm>
            <a:off x="1924050" y="21440775"/>
            <a:ext cx="590550" cy="0"/>
          </a:xfrm>
          <a:prstGeom prst="line">
            <a:avLst/>
          </a:prstGeom>
          <a:ln/>
        </xdr:spPr>
        <xdr:style>
          <a:lnRef idx="1">
            <a:schemeClr val="dk1"/>
          </a:lnRef>
          <a:fillRef idx="0">
            <a:schemeClr val="dk1"/>
          </a:fillRef>
          <a:effectRef idx="0">
            <a:schemeClr val="dk1"/>
          </a:effectRef>
          <a:fontRef idx="minor">
            <a:schemeClr val="tx1"/>
          </a:fontRef>
        </xdr:style>
      </xdr:cxnSp>
    </xdr:grpSp>
    <xdr:clientData/>
  </xdr:twoCellAnchor>
  <xdr:twoCellAnchor>
    <xdr:from>
      <xdr:col>7</xdr:col>
      <xdr:colOff>142875</xdr:colOff>
      <xdr:row>93</xdr:row>
      <xdr:rowOff>85725</xdr:rowOff>
    </xdr:from>
    <xdr:to>
      <xdr:col>8</xdr:col>
      <xdr:colOff>123825</xdr:colOff>
      <xdr:row>97</xdr:row>
      <xdr:rowOff>66673</xdr:rowOff>
    </xdr:to>
    <xdr:grpSp>
      <xdr:nvGrpSpPr>
        <xdr:cNvPr id="61" name="Group 60">
          <a:extLst>
            <a:ext uri="{FF2B5EF4-FFF2-40B4-BE49-F238E27FC236}">
              <a16:creationId xmlns:a16="http://schemas.microsoft.com/office/drawing/2014/main" id="{00000000-0008-0000-0500-00003D000000}"/>
            </a:ext>
          </a:extLst>
        </xdr:cNvPr>
        <xdr:cNvGrpSpPr/>
      </xdr:nvGrpSpPr>
      <xdr:grpSpPr>
        <a:xfrm>
          <a:off x="4821912" y="13003537"/>
          <a:ext cx="635403" cy="543655"/>
          <a:chOff x="1924050" y="21097875"/>
          <a:chExt cx="590550" cy="628648"/>
        </a:xfrm>
      </xdr:grpSpPr>
      <xdr:grpSp>
        <xdr:nvGrpSpPr>
          <xdr:cNvPr id="62" name="Group 61">
            <a:extLst>
              <a:ext uri="{FF2B5EF4-FFF2-40B4-BE49-F238E27FC236}">
                <a16:creationId xmlns:a16="http://schemas.microsoft.com/office/drawing/2014/main" id="{00000000-0008-0000-0500-00003E000000}"/>
              </a:ext>
            </a:extLst>
          </xdr:cNvPr>
          <xdr:cNvGrpSpPr/>
        </xdr:nvGrpSpPr>
        <xdr:grpSpPr>
          <a:xfrm>
            <a:off x="2066132" y="21097875"/>
            <a:ext cx="372269" cy="628648"/>
            <a:chOff x="2513806" y="10058400"/>
            <a:chExt cx="486569" cy="742948"/>
          </a:xfrm>
        </xdr:grpSpPr>
        <xdr:cxnSp macro="">
          <xdr:nvCxnSpPr>
            <xdr:cNvPr id="64" name="Straight Connector 63">
              <a:extLst>
                <a:ext uri="{FF2B5EF4-FFF2-40B4-BE49-F238E27FC236}">
                  <a16:creationId xmlns:a16="http://schemas.microsoft.com/office/drawing/2014/main" id="{00000000-0008-0000-0500-000040000000}"/>
                </a:ext>
              </a:extLst>
            </xdr:cNvPr>
            <xdr:cNvCxnSpPr/>
          </xdr:nvCxnSpPr>
          <xdr:spPr>
            <a:xfrm rot="5400000">
              <a:off x="2152650" y="10429875"/>
              <a:ext cx="723900" cy="1588"/>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65" name="Straight Connector 64">
              <a:extLst>
                <a:ext uri="{FF2B5EF4-FFF2-40B4-BE49-F238E27FC236}">
                  <a16:creationId xmlns:a16="http://schemas.microsoft.com/office/drawing/2014/main" id="{00000000-0008-0000-0500-000041000000}"/>
                </a:ext>
              </a:extLst>
            </xdr:cNvPr>
            <xdr:cNvCxnSpPr/>
          </xdr:nvCxnSpPr>
          <xdr:spPr>
            <a:xfrm flipV="1">
              <a:off x="2514600" y="10058400"/>
              <a:ext cx="295275" cy="866"/>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66" name="Straight Connector 65">
              <a:extLst>
                <a:ext uri="{FF2B5EF4-FFF2-40B4-BE49-F238E27FC236}">
                  <a16:creationId xmlns:a16="http://schemas.microsoft.com/office/drawing/2014/main" id="{00000000-0008-0000-0500-000042000000}"/>
                </a:ext>
              </a:extLst>
            </xdr:cNvPr>
            <xdr:cNvCxnSpPr/>
          </xdr:nvCxnSpPr>
          <xdr:spPr>
            <a:xfrm rot="16200000" flipH="1">
              <a:off x="2533650" y="10344148"/>
              <a:ext cx="733425" cy="180975"/>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67" name="Straight Connector 66">
              <a:extLst>
                <a:ext uri="{FF2B5EF4-FFF2-40B4-BE49-F238E27FC236}">
                  <a16:creationId xmlns:a16="http://schemas.microsoft.com/office/drawing/2014/main" id="{00000000-0008-0000-0500-000043000000}"/>
                </a:ext>
              </a:extLst>
            </xdr:cNvPr>
            <xdr:cNvCxnSpPr/>
          </xdr:nvCxnSpPr>
          <xdr:spPr>
            <a:xfrm>
              <a:off x="2514600" y="10772775"/>
              <a:ext cx="485775" cy="1588"/>
            </a:xfrm>
            <a:prstGeom prst="line">
              <a:avLst/>
            </a:prstGeom>
          </xdr:spPr>
          <xdr:style>
            <a:lnRef idx="1">
              <a:schemeClr val="dk1"/>
            </a:lnRef>
            <a:fillRef idx="0">
              <a:schemeClr val="dk1"/>
            </a:fillRef>
            <a:effectRef idx="0">
              <a:schemeClr val="dk1"/>
            </a:effectRef>
            <a:fontRef idx="minor">
              <a:schemeClr val="tx1"/>
            </a:fontRef>
          </xdr:style>
        </xdr:cxnSp>
      </xdr:grpSp>
      <xdr:cxnSp macro="">
        <xdr:nvCxnSpPr>
          <xdr:cNvPr id="63" name="Straight Connector 62">
            <a:extLst>
              <a:ext uri="{FF2B5EF4-FFF2-40B4-BE49-F238E27FC236}">
                <a16:creationId xmlns:a16="http://schemas.microsoft.com/office/drawing/2014/main" id="{00000000-0008-0000-0500-00003F000000}"/>
              </a:ext>
            </a:extLst>
          </xdr:cNvPr>
          <xdr:cNvCxnSpPr/>
        </xdr:nvCxnSpPr>
        <xdr:spPr>
          <a:xfrm>
            <a:off x="1924050" y="21440775"/>
            <a:ext cx="590550" cy="0"/>
          </a:xfrm>
          <a:prstGeom prst="line">
            <a:avLst/>
          </a:prstGeom>
          <a:ln/>
        </xdr:spPr>
        <xdr:style>
          <a:lnRef idx="1">
            <a:schemeClr val="dk1"/>
          </a:lnRef>
          <a:fillRef idx="0">
            <a:schemeClr val="dk1"/>
          </a:fillRef>
          <a:effectRef idx="0">
            <a:schemeClr val="dk1"/>
          </a:effectRef>
          <a:fontRef idx="minor">
            <a:schemeClr val="tx1"/>
          </a:fontRef>
        </xdr:style>
      </xdr:cxnSp>
    </xdr:grpSp>
    <xdr:clientData/>
  </xdr:twoCellAnchor>
  <xdr:twoCellAnchor>
    <xdr:from>
      <xdr:col>9</xdr:col>
      <xdr:colOff>152400</xdr:colOff>
      <xdr:row>93</xdr:row>
      <xdr:rowOff>76200</xdr:rowOff>
    </xdr:from>
    <xdr:to>
      <xdr:col>10</xdr:col>
      <xdr:colOff>133350</xdr:colOff>
      <xdr:row>97</xdr:row>
      <xdr:rowOff>57148</xdr:rowOff>
    </xdr:to>
    <xdr:grpSp>
      <xdr:nvGrpSpPr>
        <xdr:cNvPr id="68" name="Group 67">
          <a:extLst>
            <a:ext uri="{FF2B5EF4-FFF2-40B4-BE49-F238E27FC236}">
              <a16:creationId xmlns:a16="http://schemas.microsoft.com/office/drawing/2014/main" id="{00000000-0008-0000-0500-000044000000}"/>
            </a:ext>
          </a:extLst>
        </xdr:cNvPr>
        <xdr:cNvGrpSpPr/>
      </xdr:nvGrpSpPr>
      <xdr:grpSpPr>
        <a:xfrm>
          <a:off x="6103645" y="12994012"/>
          <a:ext cx="598706" cy="543655"/>
          <a:chOff x="1924050" y="21097875"/>
          <a:chExt cx="590550" cy="628648"/>
        </a:xfrm>
      </xdr:grpSpPr>
      <xdr:grpSp>
        <xdr:nvGrpSpPr>
          <xdr:cNvPr id="69" name="Group 68">
            <a:extLst>
              <a:ext uri="{FF2B5EF4-FFF2-40B4-BE49-F238E27FC236}">
                <a16:creationId xmlns:a16="http://schemas.microsoft.com/office/drawing/2014/main" id="{00000000-0008-0000-0500-000045000000}"/>
              </a:ext>
            </a:extLst>
          </xdr:cNvPr>
          <xdr:cNvGrpSpPr/>
        </xdr:nvGrpSpPr>
        <xdr:grpSpPr>
          <a:xfrm>
            <a:off x="2066132" y="21097875"/>
            <a:ext cx="372269" cy="628648"/>
            <a:chOff x="2513806" y="10058400"/>
            <a:chExt cx="486569" cy="742948"/>
          </a:xfrm>
        </xdr:grpSpPr>
        <xdr:cxnSp macro="">
          <xdr:nvCxnSpPr>
            <xdr:cNvPr id="71" name="Straight Connector 70">
              <a:extLst>
                <a:ext uri="{FF2B5EF4-FFF2-40B4-BE49-F238E27FC236}">
                  <a16:creationId xmlns:a16="http://schemas.microsoft.com/office/drawing/2014/main" id="{00000000-0008-0000-0500-000047000000}"/>
                </a:ext>
              </a:extLst>
            </xdr:cNvPr>
            <xdr:cNvCxnSpPr/>
          </xdr:nvCxnSpPr>
          <xdr:spPr>
            <a:xfrm rot="5400000">
              <a:off x="2152650" y="10429875"/>
              <a:ext cx="723900" cy="1588"/>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72" name="Straight Connector 71">
              <a:extLst>
                <a:ext uri="{FF2B5EF4-FFF2-40B4-BE49-F238E27FC236}">
                  <a16:creationId xmlns:a16="http://schemas.microsoft.com/office/drawing/2014/main" id="{00000000-0008-0000-0500-000048000000}"/>
                </a:ext>
              </a:extLst>
            </xdr:cNvPr>
            <xdr:cNvCxnSpPr/>
          </xdr:nvCxnSpPr>
          <xdr:spPr>
            <a:xfrm flipV="1">
              <a:off x="2514600" y="10058400"/>
              <a:ext cx="295275" cy="866"/>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73" name="Straight Connector 72">
              <a:extLst>
                <a:ext uri="{FF2B5EF4-FFF2-40B4-BE49-F238E27FC236}">
                  <a16:creationId xmlns:a16="http://schemas.microsoft.com/office/drawing/2014/main" id="{00000000-0008-0000-0500-000049000000}"/>
                </a:ext>
              </a:extLst>
            </xdr:cNvPr>
            <xdr:cNvCxnSpPr/>
          </xdr:nvCxnSpPr>
          <xdr:spPr>
            <a:xfrm rot="16200000" flipH="1">
              <a:off x="2533650" y="10344148"/>
              <a:ext cx="733425" cy="180975"/>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74" name="Straight Connector 73">
              <a:extLst>
                <a:ext uri="{FF2B5EF4-FFF2-40B4-BE49-F238E27FC236}">
                  <a16:creationId xmlns:a16="http://schemas.microsoft.com/office/drawing/2014/main" id="{00000000-0008-0000-0500-00004A000000}"/>
                </a:ext>
              </a:extLst>
            </xdr:cNvPr>
            <xdr:cNvCxnSpPr/>
          </xdr:nvCxnSpPr>
          <xdr:spPr>
            <a:xfrm>
              <a:off x="2514600" y="10772775"/>
              <a:ext cx="485775" cy="1588"/>
            </a:xfrm>
            <a:prstGeom prst="line">
              <a:avLst/>
            </a:prstGeom>
          </xdr:spPr>
          <xdr:style>
            <a:lnRef idx="1">
              <a:schemeClr val="dk1"/>
            </a:lnRef>
            <a:fillRef idx="0">
              <a:schemeClr val="dk1"/>
            </a:fillRef>
            <a:effectRef idx="0">
              <a:schemeClr val="dk1"/>
            </a:effectRef>
            <a:fontRef idx="minor">
              <a:schemeClr val="tx1"/>
            </a:fontRef>
          </xdr:style>
        </xdr:cxnSp>
      </xdr:grpSp>
      <xdr:cxnSp macro="">
        <xdr:nvCxnSpPr>
          <xdr:cNvPr id="70" name="Straight Connector 69">
            <a:extLst>
              <a:ext uri="{FF2B5EF4-FFF2-40B4-BE49-F238E27FC236}">
                <a16:creationId xmlns:a16="http://schemas.microsoft.com/office/drawing/2014/main" id="{00000000-0008-0000-0500-000046000000}"/>
              </a:ext>
            </a:extLst>
          </xdr:cNvPr>
          <xdr:cNvCxnSpPr/>
        </xdr:nvCxnSpPr>
        <xdr:spPr>
          <a:xfrm>
            <a:off x="1924050" y="21440775"/>
            <a:ext cx="590550" cy="0"/>
          </a:xfrm>
          <a:prstGeom prst="line">
            <a:avLst/>
          </a:prstGeom>
          <a:ln/>
        </xdr:spPr>
        <xdr:style>
          <a:lnRef idx="1">
            <a:schemeClr val="dk1"/>
          </a:lnRef>
          <a:fillRef idx="0">
            <a:schemeClr val="dk1"/>
          </a:fillRef>
          <a:effectRef idx="0">
            <a:schemeClr val="dk1"/>
          </a:effectRef>
          <a:fontRef idx="minor">
            <a:schemeClr val="tx1"/>
          </a:fontRef>
        </xdr:style>
      </xdr:cxnSp>
    </xdr:grpSp>
    <xdr:clientData/>
  </xdr:twoCellAnchor>
  <xdr:oneCellAnchor>
    <xdr:from>
      <xdr:col>3</xdr:col>
      <xdr:colOff>339437</xdr:colOff>
      <xdr:row>194</xdr:row>
      <xdr:rowOff>92652</xdr:rowOff>
    </xdr:from>
    <xdr:ext cx="2137064" cy="264560"/>
    <xdr:sp macro="" textlink="">
      <xdr:nvSpPr>
        <xdr:cNvPr id="82" name="TextBox 81">
          <a:extLst>
            <a:ext uri="{FF2B5EF4-FFF2-40B4-BE49-F238E27FC236}">
              <a16:creationId xmlns:a16="http://schemas.microsoft.com/office/drawing/2014/main" id="{00000000-0008-0000-0500-000052000000}"/>
            </a:ext>
          </a:extLst>
        </xdr:cNvPr>
        <xdr:cNvSpPr txBox="1"/>
      </xdr:nvSpPr>
      <xdr:spPr>
        <a:xfrm>
          <a:off x="2006312" y="33877827"/>
          <a:ext cx="213706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0.67𝑏𝑑√(</a:t>
          </a:r>
          <a:r>
            <a:rPr lang="en-US" sz="1100" b="0" i="0">
              <a:solidFill>
                <a:schemeClr val="tx1"/>
              </a:solidFill>
              <a:effectLst/>
              <a:latin typeface="Cambria Math"/>
              <a:ea typeface="+mn-ea"/>
              <a:cs typeface="+mn-cs"/>
            </a:rPr>
            <a:t>𝑓</a:t>
          </a:r>
          <a:r>
            <a:rPr lang="en-US" sz="1100" b="0" i="0" baseline="30000">
              <a:solidFill>
                <a:schemeClr val="tx1"/>
              </a:solidFill>
              <a:effectLst/>
              <a:latin typeface="Cambria Math"/>
              <a:ea typeface="+mn-ea"/>
              <a:cs typeface="+mn-cs"/>
            </a:rPr>
            <a:t>2</a:t>
          </a:r>
          <a:r>
            <a:rPr lang="en-US" sz="1100" b="0" i="0" baseline="-25000">
              <a:solidFill>
                <a:schemeClr val="tx1"/>
              </a:solidFill>
              <a:effectLst/>
              <a:latin typeface="Cambria Math"/>
              <a:ea typeface="+mn-ea"/>
              <a:cs typeface="+mn-cs"/>
            </a:rPr>
            <a:t>𝑡</a:t>
          </a:r>
          <a:r>
            <a:rPr lang="en-US" sz="1100" b="0" i="0" baseline="-25000">
              <a:solidFill>
                <a:schemeClr val="tx1"/>
              </a:solidFill>
              <a:effectLst/>
              <a:latin typeface="+mn-lt"/>
              <a:ea typeface="+mn-ea"/>
              <a:cs typeface="+mn-cs"/>
            </a:rPr>
            <a:t>"</a:t>
          </a:r>
          <a:r>
            <a:rPr lang="en-US" sz="1100" i="0">
              <a:solidFill>
                <a:schemeClr val="tx1"/>
              </a:solidFill>
              <a:effectLst/>
              <a:latin typeface="+mn-lt"/>
              <a:ea typeface="+mn-ea"/>
              <a:cs typeface="+mn-cs"/>
            </a:rPr>
            <a:t>+0.8fcp.ft</a:t>
          </a:r>
          <a:r>
            <a:rPr lang="en-US" sz="1100" b="0" i="0">
              <a:solidFill>
                <a:schemeClr val="tx1"/>
              </a:solidFill>
              <a:effectLst/>
              <a:latin typeface="Cambria Math"/>
              <a:ea typeface="+mn-ea"/>
              <a:cs typeface="+mn-cs"/>
            </a:rPr>
            <a:t>)</a:t>
          </a:r>
          <a:endParaRPr lang="en-US" sz="1100"/>
        </a:p>
      </xdr:txBody>
    </xdr:sp>
    <xdr:clientData/>
  </xdr:oneCellAnchor>
  <xdr:oneCellAnchor>
    <xdr:from>
      <xdr:col>3</xdr:col>
      <xdr:colOff>574964</xdr:colOff>
      <xdr:row>204</xdr:row>
      <xdr:rowOff>9524</xdr:rowOff>
    </xdr:from>
    <xdr:ext cx="1591542" cy="264560"/>
    <xdr:sp macro="" textlink="">
      <xdr:nvSpPr>
        <xdr:cNvPr id="83" name="TextBox 82">
          <a:extLst>
            <a:ext uri="{FF2B5EF4-FFF2-40B4-BE49-F238E27FC236}">
              <a16:creationId xmlns:a16="http://schemas.microsoft.com/office/drawing/2014/main" id="{00000000-0008-0000-0500-000053000000}"/>
            </a:ext>
          </a:extLst>
        </xdr:cNvPr>
        <xdr:cNvSpPr txBox="1"/>
      </xdr:nvSpPr>
      <xdr:spPr>
        <a:xfrm>
          <a:off x="2241839" y="35137724"/>
          <a:ext cx="15915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0.037𝑏𝑑𝑏√𝑓</a:t>
          </a:r>
          <a:r>
            <a:rPr lang="en-US" sz="1100" b="0" i="0" baseline="-25000">
              <a:latin typeface="Cambria Math"/>
            </a:rPr>
            <a:t>𝑐𝑘</a:t>
          </a:r>
          <a:r>
            <a:rPr lang="en-US" sz="1100"/>
            <a:t>+</a:t>
          </a:r>
          <a:r>
            <a:rPr lang="en-US" sz="1100" b="0" i="0">
              <a:latin typeface="Cambria Math"/>
            </a:rPr>
            <a:t>𝑀</a:t>
          </a:r>
          <a:r>
            <a:rPr lang="en-US" sz="1100" b="0" i="0" baseline="-25000">
              <a:latin typeface="Cambria Math"/>
            </a:rPr>
            <a:t>𝑡/</a:t>
          </a:r>
          <a:r>
            <a:rPr lang="en-US" sz="1100" b="0" i="0">
              <a:latin typeface="Cambria Math"/>
            </a:rPr>
            <a:t>𝑀 𝑉</a:t>
          </a:r>
          <a:endParaRPr lang="en-US" sz="1100"/>
        </a:p>
      </xdr:txBody>
    </xdr:sp>
    <xdr:clientData/>
  </xdr:oneCellAnchor>
  <xdr:oneCellAnchor>
    <xdr:from>
      <xdr:col>4</xdr:col>
      <xdr:colOff>45028</xdr:colOff>
      <xdr:row>207</xdr:row>
      <xdr:rowOff>118629</xdr:rowOff>
    </xdr:from>
    <xdr:ext cx="1678132" cy="351571"/>
    <xdr:sp macro="" textlink="">
      <xdr:nvSpPr>
        <xdr:cNvPr id="84" name="TextBox 83">
          <a:extLst>
            <a:ext uri="{FF2B5EF4-FFF2-40B4-BE49-F238E27FC236}">
              <a16:creationId xmlns:a16="http://schemas.microsoft.com/office/drawing/2014/main" id="{00000000-0008-0000-0500-000054000000}"/>
            </a:ext>
          </a:extLst>
        </xdr:cNvPr>
        <xdr:cNvSpPr txBox="1"/>
      </xdr:nvSpPr>
      <xdr:spPr>
        <a:xfrm>
          <a:off x="2616778" y="92749254"/>
          <a:ext cx="1678132" cy="3515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a:t>(</a:t>
          </a:r>
          <a:r>
            <a:rPr lang="en-US" sz="1100" b="0" i="0">
              <a:latin typeface="Cambria Math"/>
            </a:rPr>
            <a:t>0.37√𝑓𝑐𝑘</a:t>
          </a:r>
          <a:r>
            <a:rPr lang="en-US" sz="1100"/>
            <a:t>+0.8fpt)</a:t>
          </a:r>
          <a:r>
            <a:rPr lang="en-US" sz="1100" b="0" i="0">
              <a:latin typeface="Cambria Math"/>
            </a:rPr>
            <a:t>𝐼/𝑦</a:t>
          </a:r>
          <a:endParaRPr lang="en-US" sz="1100"/>
        </a:p>
      </xdr:txBody>
    </xdr:sp>
    <xdr:clientData/>
  </xdr:oneCellAnchor>
  <xdr:oneCellAnchor>
    <xdr:from>
      <xdr:col>3</xdr:col>
      <xdr:colOff>217342</xdr:colOff>
      <xdr:row>216</xdr:row>
      <xdr:rowOff>25112</xdr:rowOff>
    </xdr:from>
    <xdr:ext cx="2011508" cy="264560"/>
    <xdr:sp macro="" textlink="">
      <xdr:nvSpPr>
        <xdr:cNvPr id="85" name="TextBox 84">
          <a:extLst>
            <a:ext uri="{FF2B5EF4-FFF2-40B4-BE49-F238E27FC236}">
              <a16:creationId xmlns:a16="http://schemas.microsoft.com/office/drawing/2014/main" id="{00000000-0008-0000-0500-000055000000}"/>
            </a:ext>
          </a:extLst>
        </xdr:cNvPr>
        <xdr:cNvSpPr txBox="1"/>
      </xdr:nvSpPr>
      <xdr:spPr>
        <a:xfrm>
          <a:off x="1884217" y="37420262"/>
          <a:ext cx="201150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𝐴𝑠𝑣/𝑆𝑣</a:t>
          </a:r>
          <a:r>
            <a:rPr lang="en-US" sz="1100"/>
            <a:t>=</a:t>
          </a:r>
          <a:r>
            <a:rPr lang="en-US" sz="1100" i="0">
              <a:latin typeface="Cambria Math"/>
            </a:rPr>
            <a:t>(</a:t>
          </a:r>
          <a:r>
            <a:rPr lang="en-US" sz="1100" b="0" i="0">
              <a:latin typeface="Cambria Math"/>
            </a:rPr>
            <a:t>𝑉−𝑉𝑐)/0.87𝑓𝑦𝑑𝑡</a:t>
          </a:r>
          <a:endParaRPr lang="en-US" sz="1100"/>
        </a:p>
      </xdr:txBody>
    </xdr:sp>
    <xdr:clientData/>
  </xdr:oneCellAnchor>
  <xdr:twoCellAnchor>
    <xdr:from>
      <xdr:col>2</xdr:col>
      <xdr:colOff>557357</xdr:colOff>
      <xdr:row>311</xdr:row>
      <xdr:rowOff>96982</xdr:rowOff>
    </xdr:from>
    <xdr:to>
      <xdr:col>7</xdr:col>
      <xdr:colOff>854075</xdr:colOff>
      <xdr:row>322</xdr:row>
      <xdr:rowOff>57150</xdr:rowOff>
    </xdr:to>
    <xdr:graphicFrame macro="">
      <xdr:nvGraphicFramePr>
        <xdr:cNvPr id="86" name="Chart 2">
          <a:extLst>
            <a:ext uri="{FF2B5EF4-FFF2-40B4-BE49-F238E27FC236}">
              <a16:creationId xmlns:a16="http://schemas.microsoft.com/office/drawing/2014/main" id="{00000000-0008-0000-0500-00005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oneCellAnchor>
    <xdr:from>
      <xdr:col>3</xdr:col>
      <xdr:colOff>164523</xdr:colOff>
      <xdr:row>8</xdr:row>
      <xdr:rowOff>126422</xdr:rowOff>
    </xdr:from>
    <xdr:ext cx="994063" cy="264560"/>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507548" y="1421822"/>
          <a:ext cx="99406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𝑌=𝐴𝑥</a:t>
          </a:r>
          <a:r>
            <a:rPr lang="en-US" sz="1100" b="0" i="0" baseline="30000">
              <a:latin typeface="Cambria Math"/>
            </a:rPr>
            <a:t>2</a:t>
          </a:r>
          <a:r>
            <a:rPr lang="en-US" sz="1100" b="0" i="0">
              <a:latin typeface="Cambria Math"/>
            </a:rPr>
            <a:t>+𝐶</a:t>
          </a:r>
          <a:endParaRPr lang="en-US" sz="1100"/>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8</xdr:col>
      <xdr:colOff>276224</xdr:colOff>
      <xdr:row>23</xdr:row>
      <xdr:rowOff>142875</xdr:rowOff>
    </xdr:from>
    <xdr:to>
      <xdr:col>25</xdr:col>
      <xdr:colOff>495300</xdr:colOff>
      <xdr:row>66</xdr:row>
      <xdr:rowOff>152399</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600075</xdr:colOff>
      <xdr:row>20</xdr:row>
      <xdr:rowOff>104775</xdr:rowOff>
    </xdr:from>
    <xdr:to>
      <xdr:col>5</xdr:col>
      <xdr:colOff>257175</xdr:colOff>
      <xdr:row>20</xdr:row>
      <xdr:rowOff>104775</xdr:rowOff>
    </xdr:to>
    <xdr:sp macro="" textlink="">
      <xdr:nvSpPr>
        <xdr:cNvPr id="2" name="Line 1">
          <a:extLst>
            <a:ext uri="{FF2B5EF4-FFF2-40B4-BE49-F238E27FC236}">
              <a16:creationId xmlns:a16="http://schemas.microsoft.com/office/drawing/2014/main" id="{00000000-0008-0000-0A00-000002000000}"/>
            </a:ext>
          </a:extLst>
        </xdr:cNvPr>
        <xdr:cNvSpPr>
          <a:spLocks noChangeShapeType="1"/>
        </xdr:cNvSpPr>
      </xdr:nvSpPr>
      <xdr:spPr bwMode="auto">
        <a:xfrm>
          <a:off x="3038475" y="3695700"/>
          <a:ext cx="26670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600075</xdr:colOff>
      <xdr:row>21</xdr:row>
      <xdr:rowOff>104775</xdr:rowOff>
    </xdr:from>
    <xdr:to>
      <xdr:col>5</xdr:col>
      <xdr:colOff>257175</xdr:colOff>
      <xdr:row>21</xdr:row>
      <xdr:rowOff>104775</xdr:rowOff>
    </xdr:to>
    <xdr:sp macro="" textlink="">
      <xdr:nvSpPr>
        <xdr:cNvPr id="3" name="Line 4">
          <a:extLst>
            <a:ext uri="{FF2B5EF4-FFF2-40B4-BE49-F238E27FC236}">
              <a16:creationId xmlns:a16="http://schemas.microsoft.com/office/drawing/2014/main" id="{00000000-0008-0000-0A00-000003000000}"/>
            </a:ext>
          </a:extLst>
        </xdr:cNvPr>
        <xdr:cNvSpPr>
          <a:spLocks noChangeShapeType="1"/>
        </xdr:cNvSpPr>
      </xdr:nvSpPr>
      <xdr:spPr bwMode="auto">
        <a:xfrm>
          <a:off x="3038475" y="3895725"/>
          <a:ext cx="26670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13</xdr:col>
      <xdr:colOff>142875</xdr:colOff>
      <xdr:row>0</xdr:row>
      <xdr:rowOff>0</xdr:rowOff>
    </xdr:from>
    <xdr:to>
      <xdr:col>14</xdr:col>
      <xdr:colOff>95250</xdr:colOff>
      <xdr:row>0</xdr:row>
      <xdr:rowOff>0</xdr:rowOff>
    </xdr:to>
    <xdr:grpSp>
      <xdr:nvGrpSpPr>
        <xdr:cNvPr id="4" name="Group 5">
          <a:extLst>
            <a:ext uri="{FF2B5EF4-FFF2-40B4-BE49-F238E27FC236}">
              <a16:creationId xmlns:a16="http://schemas.microsoft.com/office/drawing/2014/main" id="{00000000-0008-0000-0A00-000004000000}"/>
            </a:ext>
          </a:extLst>
        </xdr:cNvPr>
        <xdr:cNvGrpSpPr>
          <a:grpSpLocks/>
        </xdr:cNvGrpSpPr>
      </xdr:nvGrpSpPr>
      <xdr:grpSpPr bwMode="auto">
        <a:xfrm>
          <a:off x="8690527" y="0"/>
          <a:ext cx="604382" cy="0"/>
          <a:chOff x="872" y="2112"/>
          <a:chExt cx="33" cy="36"/>
        </a:xfrm>
      </xdr:grpSpPr>
      <xdr:sp macro="" textlink="">
        <xdr:nvSpPr>
          <xdr:cNvPr id="5" name="Oval 6">
            <a:extLst>
              <a:ext uri="{FF2B5EF4-FFF2-40B4-BE49-F238E27FC236}">
                <a16:creationId xmlns:a16="http://schemas.microsoft.com/office/drawing/2014/main" id="{00000000-0008-0000-0A00-000005000000}"/>
              </a:ext>
            </a:extLst>
          </xdr:cNvPr>
          <xdr:cNvSpPr>
            <a:spLocks noChangeArrowheads="1"/>
          </xdr:cNvSpPr>
        </xdr:nvSpPr>
        <xdr:spPr bwMode="auto">
          <a:xfrm>
            <a:off x="872" y="2112"/>
            <a:ext cx="33" cy="36"/>
          </a:xfrm>
          <a:prstGeom prst="ellipse">
            <a:avLst/>
          </a:prstGeom>
          <a:solidFill>
            <a:srgbClr val="FFFFFF"/>
          </a:solidFill>
          <a:ln w="9525">
            <a:solidFill>
              <a:srgbClr val="000000"/>
            </a:solidFill>
            <a:round/>
            <a:headEnd/>
            <a:tailEnd/>
          </a:ln>
        </xdr:spPr>
      </xdr:sp>
      <xdr:sp macro="" textlink="">
        <xdr:nvSpPr>
          <xdr:cNvPr id="6" name="Line 7">
            <a:extLst>
              <a:ext uri="{FF2B5EF4-FFF2-40B4-BE49-F238E27FC236}">
                <a16:creationId xmlns:a16="http://schemas.microsoft.com/office/drawing/2014/main" id="{00000000-0008-0000-0A00-000006000000}"/>
              </a:ext>
            </a:extLst>
          </xdr:cNvPr>
          <xdr:cNvSpPr>
            <a:spLocks noChangeShapeType="1"/>
          </xdr:cNvSpPr>
        </xdr:nvSpPr>
        <xdr:spPr bwMode="auto">
          <a:xfrm rot="5400000">
            <a:off x="873" y="2130"/>
            <a:ext cx="31" cy="0"/>
          </a:xfrm>
          <a:prstGeom prst="line">
            <a:avLst/>
          </a:prstGeom>
          <a:noFill/>
          <a:ln w="9525">
            <a:solidFill>
              <a:srgbClr val="000000"/>
            </a:solidFill>
            <a:round/>
            <a:headEnd type="triangle" w="med" len="sm"/>
            <a:tailEnd type="triangle" w="med" len="sm"/>
          </a:ln>
          <a:extLst>
            <a:ext uri="{909E8E84-426E-40DD-AFC4-6F175D3DCCD1}">
              <a14:hiddenFill xmlns:a14="http://schemas.microsoft.com/office/drawing/2010/main">
                <a:noFill/>
              </a14:hiddenFill>
            </a:ext>
          </a:extLst>
        </xdr:spPr>
      </xdr:sp>
      <xdr:sp macro="" textlink="">
        <xdr:nvSpPr>
          <xdr:cNvPr id="7" name="Line 8">
            <a:extLst>
              <a:ext uri="{FF2B5EF4-FFF2-40B4-BE49-F238E27FC236}">
                <a16:creationId xmlns:a16="http://schemas.microsoft.com/office/drawing/2014/main" id="{00000000-0008-0000-0A00-000007000000}"/>
              </a:ext>
            </a:extLst>
          </xdr:cNvPr>
          <xdr:cNvSpPr>
            <a:spLocks noChangeShapeType="1"/>
          </xdr:cNvSpPr>
        </xdr:nvSpPr>
        <xdr:spPr bwMode="auto">
          <a:xfrm rot="5400000">
            <a:off x="873" y="2130"/>
            <a:ext cx="31" cy="0"/>
          </a:xfrm>
          <a:prstGeom prst="line">
            <a:avLst/>
          </a:prstGeom>
          <a:noFill/>
          <a:ln w="9525">
            <a:solidFill>
              <a:srgbClr val="000000"/>
            </a:solidFill>
            <a:round/>
            <a:headEnd type="triangle" w="med" len="sm"/>
            <a:tailEnd type="triangle" w="med" len="sm"/>
          </a:ln>
          <a:extLst>
            <a:ext uri="{909E8E84-426E-40DD-AFC4-6F175D3DCCD1}">
              <a14:hiddenFill xmlns:a14="http://schemas.microsoft.com/office/drawing/2010/main">
                <a:noFill/>
              </a14:hiddenFill>
            </a:ext>
          </a:extLst>
        </xdr:spPr>
      </xdr:sp>
    </xdr:grpSp>
    <xdr:clientData/>
  </xdr:twoCellAnchor>
  <xdr:twoCellAnchor>
    <xdr:from>
      <xdr:col>13</xdr:col>
      <xdr:colOff>142875</xdr:colOff>
      <xdr:row>0</xdr:row>
      <xdr:rowOff>0</xdr:rowOff>
    </xdr:from>
    <xdr:to>
      <xdr:col>14</xdr:col>
      <xdr:colOff>85725</xdr:colOff>
      <xdr:row>0</xdr:row>
      <xdr:rowOff>0</xdr:rowOff>
    </xdr:to>
    <xdr:grpSp>
      <xdr:nvGrpSpPr>
        <xdr:cNvPr id="8" name="Group 9">
          <a:extLst>
            <a:ext uri="{FF2B5EF4-FFF2-40B4-BE49-F238E27FC236}">
              <a16:creationId xmlns:a16="http://schemas.microsoft.com/office/drawing/2014/main" id="{00000000-0008-0000-0A00-000008000000}"/>
            </a:ext>
          </a:extLst>
        </xdr:cNvPr>
        <xdr:cNvGrpSpPr>
          <a:grpSpLocks/>
        </xdr:cNvGrpSpPr>
      </xdr:nvGrpSpPr>
      <xdr:grpSpPr bwMode="auto">
        <a:xfrm>
          <a:off x="8690527" y="0"/>
          <a:ext cx="594857" cy="0"/>
          <a:chOff x="69" y="243"/>
          <a:chExt cx="33" cy="36"/>
        </a:xfrm>
      </xdr:grpSpPr>
      <xdr:sp macro="" textlink="">
        <xdr:nvSpPr>
          <xdr:cNvPr id="9" name="Oval 10">
            <a:extLst>
              <a:ext uri="{FF2B5EF4-FFF2-40B4-BE49-F238E27FC236}">
                <a16:creationId xmlns:a16="http://schemas.microsoft.com/office/drawing/2014/main" id="{00000000-0008-0000-0A00-000009000000}"/>
              </a:ext>
            </a:extLst>
          </xdr:cNvPr>
          <xdr:cNvSpPr>
            <a:spLocks noChangeArrowheads="1"/>
          </xdr:cNvSpPr>
        </xdr:nvSpPr>
        <xdr:spPr bwMode="auto">
          <a:xfrm>
            <a:off x="69" y="243"/>
            <a:ext cx="33" cy="36"/>
          </a:xfrm>
          <a:prstGeom prst="ellipse">
            <a:avLst/>
          </a:prstGeom>
          <a:solidFill>
            <a:srgbClr val="FFFFFF"/>
          </a:solidFill>
          <a:ln w="9525">
            <a:solidFill>
              <a:srgbClr val="000000"/>
            </a:solidFill>
            <a:round/>
            <a:headEnd/>
            <a:tailEnd/>
          </a:ln>
        </xdr:spPr>
      </xdr:sp>
      <xdr:grpSp>
        <xdr:nvGrpSpPr>
          <xdr:cNvPr id="10" name="Group 11">
            <a:extLst>
              <a:ext uri="{FF2B5EF4-FFF2-40B4-BE49-F238E27FC236}">
                <a16:creationId xmlns:a16="http://schemas.microsoft.com/office/drawing/2014/main" id="{00000000-0008-0000-0A00-00000A000000}"/>
              </a:ext>
            </a:extLst>
          </xdr:cNvPr>
          <xdr:cNvGrpSpPr>
            <a:grpSpLocks/>
          </xdr:cNvGrpSpPr>
        </xdr:nvGrpSpPr>
        <xdr:grpSpPr bwMode="auto">
          <a:xfrm>
            <a:off x="75" y="252"/>
            <a:ext cx="21" cy="18"/>
            <a:chOff x="14" y="261"/>
            <a:chExt cx="25" cy="18"/>
          </a:xfrm>
        </xdr:grpSpPr>
        <xdr:sp macro="" textlink="">
          <xdr:nvSpPr>
            <xdr:cNvPr id="11" name="Line 12">
              <a:extLst>
                <a:ext uri="{FF2B5EF4-FFF2-40B4-BE49-F238E27FC236}">
                  <a16:creationId xmlns:a16="http://schemas.microsoft.com/office/drawing/2014/main" id="{00000000-0008-0000-0A00-00000B000000}"/>
                </a:ext>
              </a:extLst>
            </xdr:cNvPr>
            <xdr:cNvSpPr>
              <a:spLocks noChangeShapeType="1"/>
            </xdr:cNvSpPr>
          </xdr:nvSpPr>
          <xdr:spPr bwMode="auto">
            <a:xfrm>
              <a:off x="14" y="261"/>
              <a:ext cx="24" cy="18"/>
            </a:xfrm>
            <a:prstGeom prst="line">
              <a:avLst/>
            </a:prstGeom>
            <a:noFill/>
            <a:ln w="15875">
              <a:solidFill>
                <a:srgbClr val="000000"/>
              </a:solidFill>
              <a:round/>
              <a:headEnd type="none" w="med" len="sm"/>
              <a:tailEnd type="none" w="med" len="sm"/>
            </a:ln>
            <a:extLst>
              <a:ext uri="{909E8E84-426E-40DD-AFC4-6F175D3DCCD1}">
                <a14:hiddenFill xmlns:a14="http://schemas.microsoft.com/office/drawing/2010/main">
                  <a:noFill/>
                </a14:hiddenFill>
              </a:ext>
            </a:extLst>
          </xdr:spPr>
        </xdr:sp>
        <xdr:sp macro="" textlink="">
          <xdr:nvSpPr>
            <xdr:cNvPr id="12" name="Line 13">
              <a:extLst>
                <a:ext uri="{FF2B5EF4-FFF2-40B4-BE49-F238E27FC236}">
                  <a16:creationId xmlns:a16="http://schemas.microsoft.com/office/drawing/2014/main" id="{00000000-0008-0000-0A00-00000C000000}"/>
                </a:ext>
              </a:extLst>
            </xdr:cNvPr>
            <xdr:cNvSpPr>
              <a:spLocks noChangeShapeType="1"/>
            </xdr:cNvSpPr>
          </xdr:nvSpPr>
          <xdr:spPr bwMode="auto">
            <a:xfrm flipH="1">
              <a:off x="15" y="261"/>
              <a:ext cx="24" cy="18"/>
            </a:xfrm>
            <a:prstGeom prst="line">
              <a:avLst/>
            </a:prstGeom>
            <a:noFill/>
            <a:ln w="15875">
              <a:solidFill>
                <a:srgbClr val="000000"/>
              </a:solidFill>
              <a:round/>
              <a:headEnd type="none" w="med" len="sm"/>
              <a:tailEnd type="none" w="med" len="sm"/>
            </a:ln>
            <a:extLst>
              <a:ext uri="{909E8E84-426E-40DD-AFC4-6F175D3DCCD1}">
                <a14:hiddenFill xmlns:a14="http://schemas.microsoft.com/office/drawing/2010/main">
                  <a:noFill/>
                </a14:hiddenFill>
              </a:ext>
            </a:extLst>
          </xdr:spPr>
        </xdr:sp>
      </xdr:grpSp>
    </xdr:grpSp>
    <xdr:clientData/>
  </xdr:twoCellAnchor>
  <xdr:twoCellAnchor>
    <xdr:from>
      <xdr:col>13</xdr:col>
      <xdr:colOff>171450</xdr:colOff>
      <xdr:row>0</xdr:row>
      <xdr:rowOff>0</xdr:rowOff>
    </xdr:from>
    <xdr:to>
      <xdr:col>14</xdr:col>
      <xdr:colOff>152400</xdr:colOff>
      <xdr:row>0</xdr:row>
      <xdr:rowOff>0</xdr:rowOff>
    </xdr:to>
    <xdr:grpSp>
      <xdr:nvGrpSpPr>
        <xdr:cNvPr id="13" name="Group 14">
          <a:extLst>
            <a:ext uri="{FF2B5EF4-FFF2-40B4-BE49-F238E27FC236}">
              <a16:creationId xmlns:a16="http://schemas.microsoft.com/office/drawing/2014/main" id="{00000000-0008-0000-0A00-00000D000000}"/>
            </a:ext>
          </a:extLst>
        </xdr:cNvPr>
        <xdr:cNvGrpSpPr>
          <a:grpSpLocks/>
        </xdr:cNvGrpSpPr>
      </xdr:nvGrpSpPr>
      <xdr:grpSpPr bwMode="auto">
        <a:xfrm>
          <a:off x="8719102" y="0"/>
          <a:ext cx="632957" cy="0"/>
          <a:chOff x="990" y="2182"/>
          <a:chExt cx="33" cy="40"/>
        </a:xfrm>
      </xdr:grpSpPr>
      <xdr:sp macro="" textlink="">
        <xdr:nvSpPr>
          <xdr:cNvPr id="14" name="Oval 15">
            <a:extLst>
              <a:ext uri="{FF2B5EF4-FFF2-40B4-BE49-F238E27FC236}">
                <a16:creationId xmlns:a16="http://schemas.microsoft.com/office/drawing/2014/main" id="{00000000-0008-0000-0A00-00000E000000}"/>
              </a:ext>
            </a:extLst>
          </xdr:cNvPr>
          <xdr:cNvSpPr>
            <a:spLocks noChangeArrowheads="1"/>
          </xdr:cNvSpPr>
        </xdr:nvSpPr>
        <xdr:spPr bwMode="auto">
          <a:xfrm>
            <a:off x="990" y="2182"/>
            <a:ext cx="33" cy="40"/>
          </a:xfrm>
          <a:prstGeom prst="ellipse">
            <a:avLst/>
          </a:prstGeom>
          <a:solidFill>
            <a:srgbClr val="FFFFFF"/>
          </a:solidFill>
          <a:ln w="9525">
            <a:solidFill>
              <a:srgbClr val="000000"/>
            </a:solidFill>
            <a:round/>
            <a:headEnd/>
            <a:tailEnd/>
          </a:ln>
        </xdr:spPr>
      </xdr:sp>
      <xdr:grpSp>
        <xdr:nvGrpSpPr>
          <xdr:cNvPr id="15" name="Group 16">
            <a:extLst>
              <a:ext uri="{FF2B5EF4-FFF2-40B4-BE49-F238E27FC236}">
                <a16:creationId xmlns:a16="http://schemas.microsoft.com/office/drawing/2014/main" id="{00000000-0008-0000-0A00-00000F000000}"/>
              </a:ext>
            </a:extLst>
          </xdr:cNvPr>
          <xdr:cNvGrpSpPr>
            <a:grpSpLocks/>
          </xdr:cNvGrpSpPr>
        </xdr:nvGrpSpPr>
        <xdr:grpSpPr bwMode="auto">
          <a:xfrm>
            <a:off x="993" y="2187"/>
            <a:ext cx="27" cy="32"/>
            <a:chOff x="595" y="318"/>
            <a:chExt cx="27" cy="29"/>
          </a:xfrm>
        </xdr:grpSpPr>
        <xdr:sp macro="" textlink="">
          <xdr:nvSpPr>
            <xdr:cNvPr id="16" name="Line 17">
              <a:extLst>
                <a:ext uri="{FF2B5EF4-FFF2-40B4-BE49-F238E27FC236}">
                  <a16:creationId xmlns:a16="http://schemas.microsoft.com/office/drawing/2014/main" id="{00000000-0008-0000-0A00-000010000000}"/>
                </a:ext>
              </a:extLst>
            </xdr:cNvPr>
            <xdr:cNvSpPr>
              <a:spLocks noChangeShapeType="1"/>
            </xdr:cNvSpPr>
          </xdr:nvSpPr>
          <xdr:spPr bwMode="auto">
            <a:xfrm rot="5400000">
              <a:off x="594" y="333"/>
              <a:ext cx="29" cy="0"/>
            </a:xfrm>
            <a:prstGeom prst="line">
              <a:avLst/>
            </a:prstGeom>
            <a:noFill/>
            <a:ln w="9525">
              <a:solidFill>
                <a:srgbClr val="000000"/>
              </a:solidFill>
              <a:round/>
              <a:headEnd type="triangle" w="med" len="sm"/>
              <a:tailEnd type="triangle" w="med" len="sm"/>
            </a:ln>
            <a:extLst>
              <a:ext uri="{909E8E84-426E-40DD-AFC4-6F175D3DCCD1}">
                <a14:hiddenFill xmlns:a14="http://schemas.microsoft.com/office/drawing/2010/main">
                  <a:noFill/>
                </a14:hiddenFill>
              </a:ext>
            </a:extLst>
          </xdr:spPr>
        </xdr:sp>
        <xdr:sp macro="" textlink="">
          <xdr:nvSpPr>
            <xdr:cNvPr id="17" name="Line 18">
              <a:extLst>
                <a:ext uri="{FF2B5EF4-FFF2-40B4-BE49-F238E27FC236}">
                  <a16:creationId xmlns:a16="http://schemas.microsoft.com/office/drawing/2014/main" id="{00000000-0008-0000-0A00-000011000000}"/>
                </a:ext>
              </a:extLst>
            </xdr:cNvPr>
            <xdr:cNvSpPr>
              <a:spLocks noChangeShapeType="1"/>
            </xdr:cNvSpPr>
          </xdr:nvSpPr>
          <xdr:spPr bwMode="auto">
            <a:xfrm>
              <a:off x="595" y="333"/>
              <a:ext cx="27" cy="0"/>
            </a:xfrm>
            <a:prstGeom prst="line">
              <a:avLst/>
            </a:prstGeom>
            <a:noFill/>
            <a:ln w="9525">
              <a:solidFill>
                <a:srgbClr val="000000"/>
              </a:solidFill>
              <a:round/>
              <a:headEnd type="triangle" w="med" len="sm"/>
              <a:tailEnd type="triangle" w="med" len="sm"/>
            </a:ln>
            <a:extLst>
              <a:ext uri="{909E8E84-426E-40DD-AFC4-6F175D3DCCD1}">
                <a14:hiddenFill xmlns:a14="http://schemas.microsoft.com/office/drawing/2010/main">
                  <a:noFill/>
                </a14:hiddenFill>
              </a:ext>
            </a:extLst>
          </xdr:spPr>
        </xdr:sp>
      </xdr:grpSp>
    </xdr:grpSp>
    <xdr:clientData/>
  </xdr:twoCellAnchor>
  <xdr:twoCellAnchor>
    <xdr:from>
      <xdr:col>13</xdr:col>
      <xdr:colOff>161925</xdr:colOff>
      <xdr:row>0</xdr:row>
      <xdr:rowOff>0</xdr:rowOff>
    </xdr:from>
    <xdr:to>
      <xdr:col>14</xdr:col>
      <xdr:colOff>123825</xdr:colOff>
      <xdr:row>0</xdr:row>
      <xdr:rowOff>0</xdr:rowOff>
    </xdr:to>
    <xdr:grpSp>
      <xdr:nvGrpSpPr>
        <xdr:cNvPr id="18" name="Group 19">
          <a:extLst>
            <a:ext uri="{FF2B5EF4-FFF2-40B4-BE49-F238E27FC236}">
              <a16:creationId xmlns:a16="http://schemas.microsoft.com/office/drawing/2014/main" id="{00000000-0008-0000-0A00-000012000000}"/>
            </a:ext>
          </a:extLst>
        </xdr:cNvPr>
        <xdr:cNvGrpSpPr>
          <a:grpSpLocks/>
        </xdr:cNvGrpSpPr>
      </xdr:nvGrpSpPr>
      <xdr:grpSpPr bwMode="auto">
        <a:xfrm>
          <a:off x="8709577" y="0"/>
          <a:ext cx="613907" cy="0"/>
          <a:chOff x="990" y="2259"/>
          <a:chExt cx="33" cy="40"/>
        </a:xfrm>
      </xdr:grpSpPr>
      <xdr:sp macro="" textlink="">
        <xdr:nvSpPr>
          <xdr:cNvPr id="19" name="Oval 20">
            <a:extLst>
              <a:ext uri="{FF2B5EF4-FFF2-40B4-BE49-F238E27FC236}">
                <a16:creationId xmlns:a16="http://schemas.microsoft.com/office/drawing/2014/main" id="{00000000-0008-0000-0A00-000013000000}"/>
              </a:ext>
            </a:extLst>
          </xdr:cNvPr>
          <xdr:cNvSpPr>
            <a:spLocks noChangeArrowheads="1"/>
          </xdr:cNvSpPr>
        </xdr:nvSpPr>
        <xdr:spPr bwMode="auto">
          <a:xfrm>
            <a:off x="990" y="2259"/>
            <a:ext cx="33" cy="40"/>
          </a:xfrm>
          <a:prstGeom prst="ellipse">
            <a:avLst/>
          </a:prstGeom>
          <a:solidFill>
            <a:srgbClr val="FFFFFF"/>
          </a:solidFill>
          <a:ln w="9525">
            <a:solidFill>
              <a:srgbClr val="000000"/>
            </a:solidFill>
            <a:round/>
            <a:headEnd/>
            <a:tailEnd/>
          </a:ln>
        </xdr:spPr>
      </xdr:sp>
      <xdr:sp macro="" textlink="">
        <xdr:nvSpPr>
          <xdr:cNvPr id="20" name="Line 21">
            <a:extLst>
              <a:ext uri="{FF2B5EF4-FFF2-40B4-BE49-F238E27FC236}">
                <a16:creationId xmlns:a16="http://schemas.microsoft.com/office/drawing/2014/main" id="{00000000-0008-0000-0A00-000014000000}"/>
              </a:ext>
            </a:extLst>
          </xdr:cNvPr>
          <xdr:cNvSpPr>
            <a:spLocks noChangeShapeType="1"/>
          </xdr:cNvSpPr>
        </xdr:nvSpPr>
        <xdr:spPr bwMode="auto">
          <a:xfrm rot="10800000">
            <a:off x="991" y="2280"/>
            <a:ext cx="31" cy="0"/>
          </a:xfrm>
          <a:prstGeom prst="line">
            <a:avLst/>
          </a:prstGeom>
          <a:noFill/>
          <a:ln w="9525">
            <a:solidFill>
              <a:srgbClr val="000000"/>
            </a:solidFill>
            <a:round/>
            <a:headEnd type="triangle" w="med" len="sm"/>
            <a:tailEnd type="triangle" w="med" len="sm"/>
          </a:ln>
          <a:extLst>
            <a:ext uri="{909E8E84-426E-40DD-AFC4-6F175D3DCCD1}">
              <a14:hiddenFill xmlns:a14="http://schemas.microsoft.com/office/drawing/2010/main">
                <a:noFill/>
              </a14:hiddenFill>
            </a:ext>
          </a:extLst>
        </xdr:spPr>
      </xdr:sp>
    </xdr:grpSp>
    <xdr:clientData/>
  </xdr:twoCellAnchor>
  <xdr:twoCellAnchor>
    <xdr:from>
      <xdr:col>13</xdr:col>
      <xdr:colOff>161925</xdr:colOff>
      <xdr:row>0</xdr:row>
      <xdr:rowOff>0</xdr:rowOff>
    </xdr:from>
    <xdr:to>
      <xdr:col>14</xdr:col>
      <xdr:colOff>123825</xdr:colOff>
      <xdr:row>0</xdr:row>
      <xdr:rowOff>0</xdr:rowOff>
    </xdr:to>
    <xdr:grpSp>
      <xdr:nvGrpSpPr>
        <xdr:cNvPr id="21" name="Group 22">
          <a:extLst>
            <a:ext uri="{FF2B5EF4-FFF2-40B4-BE49-F238E27FC236}">
              <a16:creationId xmlns:a16="http://schemas.microsoft.com/office/drawing/2014/main" id="{00000000-0008-0000-0A00-000015000000}"/>
            </a:ext>
          </a:extLst>
        </xdr:cNvPr>
        <xdr:cNvGrpSpPr>
          <a:grpSpLocks/>
        </xdr:cNvGrpSpPr>
      </xdr:nvGrpSpPr>
      <xdr:grpSpPr bwMode="auto">
        <a:xfrm>
          <a:off x="8709577" y="0"/>
          <a:ext cx="613907" cy="0"/>
          <a:chOff x="990" y="2259"/>
          <a:chExt cx="33" cy="40"/>
        </a:xfrm>
      </xdr:grpSpPr>
      <xdr:sp macro="" textlink="">
        <xdr:nvSpPr>
          <xdr:cNvPr id="22" name="Oval 23">
            <a:extLst>
              <a:ext uri="{FF2B5EF4-FFF2-40B4-BE49-F238E27FC236}">
                <a16:creationId xmlns:a16="http://schemas.microsoft.com/office/drawing/2014/main" id="{00000000-0008-0000-0A00-000016000000}"/>
              </a:ext>
            </a:extLst>
          </xdr:cNvPr>
          <xdr:cNvSpPr>
            <a:spLocks noChangeArrowheads="1"/>
          </xdr:cNvSpPr>
        </xdr:nvSpPr>
        <xdr:spPr bwMode="auto">
          <a:xfrm>
            <a:off x="990" y="2259"/>
            <a:ext cx="33" cy="40"/>
          </a:xfrm>
          <a:prstGeom prst="ellipse">
            <a:avLst/>
          </a:prstGeom>
          <a:solidFill>
            <a:srgbClr val="FFFFFF"/>
          </a:solidFill>
          <a:ln w="9525">
            <a:solidFill>
              <a:srgbClr val="000000"/>
            </a:solidFill>
            <a:round/>
            <a:headEnd/>
            <a:tailEnd/>
          </a:ln>
        </xdr:spPr>
      </xdr:sp>
      <xdr:sp macro="" textlink="">
        <xdr:nvSpPr>
          <xdr:cNvPr id="23" name="Line 24">
            <a:extLst>
              <a:ext uri="{FF2B5EF4-FFF2-40B4-BE49-F238E27FC236}">
                <a16:creationId xmlns:a16="http://schemas.microsoft.com/office/drawing/2014/main" id="{00000000-0008-0000-0A00-000017000000}"/>
              </a:ext>
            </a:extLst>
          </xdr:cNvPr>
          <xdr:cNvSpPr>
            <a:spLocks noChangeShapeType="1"/>
          </xdr:cNvSpPr>
        </xdr:nvSpPr>
        <xdr:spPr bwMode="auto">
          <a:xfrm rot="10800000">
            <a:off x="991" y="2280"/>
            <a:ext cx="31" cy="0"/>
          </a:xfrm>
          <a:prstGeom prst="line">
            <a:avLst/>
          </a:prstGeom>
          <a:noFill/>
          <a:ln w="9525">
            <a:solidFill>
              <a:srgbClr val="000000"/>
            </a:solidFill>
            <a:round/>
            <a:headEnd type="triangle" w="med" len="sm"/>
            <a:tailEnd type="triangle" w="med" len="sm"/>
          </a:ln>
          <a:extLst>
            <a:ext uri="{909E8E84-426E-40DD-AFC4-6F175D3DCCD1}">
              <a14:hiddenFill xmlns:a14="http://schemas.microsoft.com/office/drawing/2010/main">
                <a:noFill/>
              </a14:hiddenFill>
            </a:ext>
          </a:extLst>
        </xdr:spPr>
      </xdr:sp>
    </xdr:grpSp>
    <xdr:clientData/>
  </xdr:twoCellAnchor>
  <xdr:twoCellAnchor>
    <xdr:from>
      <xdr:col>13</xdr:col>
      <xdr:colOff>171450</xdr:colOff>
      <xdr:row>0</xdr:row>
      <xdr:rowOff>0</xdr:rowOff>
    </xdr:from>
    <xdr:to>
      <xdr:col>14</xdr:col>
      <xdr:colOff>152400</xdr:colOff>
      <xdr:row>0</xdr:row>
      <xdr:rowOff>0</xdr:rowOff>
    </xdr:to>
    <xdr:grpSp>
      <xdr:nvGrpSpPr>
        <xdr:cNvPr id="24" name="Group 25">
          <a:extLst>
            <a:ext uri="{FF2B5EF4-FFF2-40B4-BE49-F238E27FC236}">
              <a16:creationId xmlns:a16="http://schemas.microsoft.com/office/drawing/2014/main" id="{00000000-0008-0000-0A00-000018000000}"/>
            </a:ext>
          </a:extLst>
        </xdr:cNvPr>
        <xdr:cNvGrpSpPr>
          <a:grpSpLocks/>
        </xdr:cNvGrpSpPr>
      </xdr:nvGrpSpPr>
      <xdr:grpSpPr bwMode="auto">
        <a:xfrm>
          <a:off x="8719102" y="0"/>
          <a:ext cx="632957" cy="0"/>
          <a:chOff x="990" y="2182"/>
          <a:chExt cx="33" cy="40"/>
        </a:xfrm>
      </xdr:grpSpPr>
      <xdr:sp macro="" textlink="">
        <xdr:nvSpPr>
          <xdr:cNvPr id="25" name="Oval 26">
            <a:extLst>
              <a:ext uri="{FF2B5EF4-FFF2-40B4-BE49-F238E27FC236}">
                <a16:creationId xmlns:a16="http://schemas.microsoft.com/office/drawing/2014/main" id="{00000000-0008-0000-0A00-000019000000}"/>
              </a:ext>
            </a:extLst>
          </xdr:cNvPr>
          <xdr:cNvSpPr>
            <a:spLocks noChangeArrowheads="1"/>
          </xdr:cNvSpPr>
        </xdr:nvSpPr>
        <xdr:spPr bwMode="auto">
          <a:xfrm>
            <a:off x="990" y="2182"/>
            <a:ext cx="33" cy="40"/>
          </a:xfrm>
          <a:prstGeom prst="ellipse">
            <a:avLst/>
          </a:prstGeom>
          <a:solidFill>
            <a:srgbClr val="FFFFFF"/>
          </a:solidFill>
          <a:ln w="9525">
            <a:solidFill>
              <a:srgbClr val="000000"/>
            </a:solidFill>
            <a:round/>
            <a:headEnd/>
            <a:tailEnd/>
          </a:ln>
        </xdr:spPr>
      </xdr:sp>
      <xdr:grpSp>
        <xdr:nvGrpSpPr>
          <xdr:cNvPr id="26" name="Group 27">
            <a:extLst>
              <a:ext uri="{FF2B5EF4-FFF2-40B4-BE49-F238E27FC236}">
                <a16:creationId xmlns:a16="http://schemas.microsoft.com/office/drawing/2014/main" id="{00000000-0008-0000-0A00-00001A000000}"/>
              </a:ext>
            </a:extLst>
          </xdr:cNvPr>
          <xdr:cNvGrpSpPr>
            <a:grpSpLocks/>
          </xdr:cNvGrpSpPr>
        </xdr:nvGrpSpPr>
        <xdr:grpSpPr bwMode="auto">
          <a:xfrm>
            <a:off x="993" y="2187"/>
            <a:ext cx="27" cy="32"/>
            <a:chOff x="595" y="318"/>
            <a:chExt cx="27" cy="29"/>
          </a:xfrm>
        </xdr:grpSpPr>
        <xdr:sp macro="" textlink="">
          <xdr:nvSpPr>
            <xdr:cNvPr id="27" name="Line 28">
              <a:extLst>
                <a:ext uri="{FF2B5EF4-FFF2-40B4-BE49-F238E27FC236}">
                  <a16:creationId xmlns:a16="http://schemas.microsoft.com/office/drawing/2014/main" id="{00000000-0008-0000-0A00-00001B000000}"/>
                </a:ext>
              </a:extLst>
            </xdr:cNvPr>
            <xdr:cNvSpPr>
              <a:spLocks noChangeShapeType="1"/>
            </xdr:cNvSpPr>
          </xdr:nvSpPr>
          <xdr:spPr bwMode="auto">
            <a:xfrm rot="5400000">
              <a:off x="594" y="333"/>
              <a:ext cx="29" cy="0"/>
            </a:xfrm>
            <a:prstGeom prst="line">
              <a:avLst/>
            </a:prstGeom>
            <a:noFill/>
            <a:ln w="9525">
              <a:solidFill>
                <a:srgbClr val="000000"/>
              </a:solidFill>
              <a:round/>
              <a:headEnd type="triangle" w="med" len="sm"/>
              <a:tailEnd type="triangle" w="med" len="sm"/>
            </a:ln>
            <a:extLst>
              <a:ext uri="{909E8E84-426E-40DD-AFC4-6F175D3DCCD1}">
                <a14:hiddenFill xmlns:a14="http://schemas.microsoft.com/office/drawing/2010/main">
                  <a:noFill/>
                </a14:hiddenFill>
              </a:ext>
            </a:extLst>
          </xdr:spPr>
        </xdr:sp>
        <xdr:sp macro="" textlink="">
          <xdr:nvSpPr>
            <xdr:cNvPr id="28" name="Line 29">
              <a:extLst>
                <a:ext uri="{FF2B5EF4-FFF2-40B4-BE49-F238E27FC236}">
                  <a16:creationId xmlns:a16="http://schemas.microsoft.com/office/drawing/2014/main" id="{00000000-0008-0000-0A00-00001C000000}"/>
                </a:ext>
              </a:extLst>
            </xdr:cNvPr>
            <xdr:cNvSpPr>
              <a:spLocks noChangeShapeType="1"/>
            </xdr:cNvSpPr>
          </xdr:nvSpPr>
          <xdr:spPr bwMode="auto">
            <a:xfrm>
              <a:off x="595" y="333"/>
              <a:ext cx="27" cy="0"/>
            </a:xfrm>
            <a:prstGeom prst="line">
              <a:avLst/>
            </a:prstGeom>
            <a:noFill/>
            <a:ln w="9525">
              <a:solidFill>
                <a:srgbClr val="000000"/>
              </a:solidFill>
              <a:round/>
              <a:headEnd type="triangle" w="med" len="sm"/>
              <a:tailEnd type="triangle" w="med" len="sm"/>
            </a:ln>
            <a:extLst>
              <a:ext uri="{909E8E84-426E-40DD-AFC4-6F175D3DCCD1}">
                <a14:hiddenFill xmlns:a14="http://schemas.microsoft.com/office/drawing/2010/main">
                  <a:noFill/>
                </a14:hiddenFill>
              </a:ext>
            </a:extLst>
          </xdr:spPr>
        </xdr:sp>
      </xdr:grp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cs16\KSUTP\merina\Truss\Design\steel.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lab"/>
      <sheetName val="revised load"/>
      <sheetName val="IL"/>
      <sheetName val="Max_stress"/>
      <sheetName val="wind"/>
      <sheetName val="e-brng-new"/>
      <sheetName val="Design_Stresses"/>
      <sheetName val="alt_top"/>
      <sheetName val="alt_bot"/>
      <sheetName val="alt_ver"/>
      <sheetName val="alt_diag"/>
      <sheetName val="alt_post"/>
      <sheetName val="B_Joints"/>
      <sheetName val="B-est"/>
      <sheetName val="deflec"/>
      <sheetName val="tab-a"/>
      <sheetName val="s_bearing"/>
      <sheetName val="R_Joints"/>
      <sheetName val="R_EST"/>
    </sheetNames>
    <sheetDataSet>
      <sheetData sheetId="0"/>
      <sheetData sheetId="1"/>
      <sheetData sheetId="2">
        <row r="3">
          <cell r="C3">
            <v>54</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B11"/>
  <sheetViews>
    <sheetView tabSelected="1" workbookViewId="0">
      <selection activeCell="D4" sqref="D4"/>
    </sheetView>
  </sheetViews>
  <sheetFormatPr defaultColWidth="9.109375" defaultRowHeight="13.15" x14ac:dyDescent="0.25"/>
  <cols>
    <col min="1" max="1" width="9.109375" style="19"/>
    <col min="2" max="2" width="40.5546875" style="19" customWidth="1"/>
    <col min="3" max="16384" width="9.109375" style="19"/>
  </cols>
  <sheetData>
    <row r="1" spans="1:2" x14ac:dyDescent="0.25">
      <c r="A1" s="19" t="s">
        <v>458</v>
      </c>
      <c r="B1" s="466" t="s">
        <v>1070</v>
      </c>
    </row>
    <row r="2" spans="1:2" ht="52.6" x14ac:dyDescent="0.25">
      <c r="A2" s="41">
        <v>1</v>
      </c>
      <c r="B2" s="42" t="s">
        <v>459</v>
      </c>
    </row>
    <row r="3" spans="1:2" ht="65.75" x14ac:dyDescent="0.25">
      <c r="A3" s="41">
        <v>2</v>
      </c>
      <c r="B3" s="42" t="s">
        <v>466</v>
      </c>
    </row>
    <row r="4" spans="1:2" ht="92.05" x14ac:dyDescent="0.25">
      <c r="A4" s="41">
        <v>3</v>
      </c>
      <c r="B4" s="43" t="s">
        <v>460</v>
      </c>
    </row>
    <row r="5" spans="1:2" ht="39.450000000000003" x14ac:dyDescent="0.25">
      <c r="A5" s="41">
        <v>4</v>
      </c>
      <c r="B5" s="43" t="s">
        <v>468</v>
      </c>
    </row>
    <row r="6" spans="1:2" ht="78.900000000000006" x14ac:dyDescent="0.25">
      <c r="A6" s="41">
        <v>5</v>
      </c>
      <c r="B6" s="42" t="s">
        <v>461</v>
      </c>
    </row>
    <row r="7" spans="1:2" x14ac:dyDescent="0.25">
      <c r="A7" s="41">
        <v>6</v>
      </c>
      <c r="B7" s="42" t="s">
        <v>462</v>
      </c>
    </row>
    <row r="8" spans="1:2" ht="26.3" x14ac:dyDescent="0.25">
      <c r="A8" s="41">
        <v>7</v>
      </c>
      <c r="B8" s="42" t="s">
        <v>463</v>
      </c>
    </row>
    <row r="9" spans="1:2" ht="26.3" x14ac:dyDescent="0.25">
      <c r="A9" s="41">
        <v>8</v>
      </c>
      <c r="B9" s="42" t="s">
        <v>467</v>
      </c>
    </row>
    <row r="10" spans="1:2" ht="27.7" customHeight="1" x14ac:dyDescent="0.25">
      <c r="A10" s="41">
        <v>9</v>
      </c>
      <c r="B10" s="42" t="s">
        <v>464</v>
      </c>
    </row>
    <row r="11" spans="1:2" ht="39.450000000000003" x14ac:dyDescent="0.25">
      <c r="A11" s="41">
        <v>10</v>
      </c>
      <c r="B11" s="42" t="s">
        <v>465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B594"/>
  <sheetViews>
    <sheetView topLeftCell="A88" zoomScale="120" zoomScaleNormal="120" zoomScaleSheetLayoutView="100" workbookViewId="0">
      <selection activeCell="K16" sqref="K16"/>
    </sheetView>
  </sheetViews>
  <sheetFormatPr defaultColWidth="9.109375" defaultRowHeight="10.65" x14ac:dyDescent="0.2"/>
  <cols>
    <col min="1" max="3" width="9.109375" style="44" customWidth="1"/>
    <col min="4" max="4" width="11.109375" style="44" customWidth="1"/>
    <col min="5" max="5" width="10.33203125" style="44" customWidth="1"/>
    <col min="6" max="8" width="10.88671875" style="44" customWidth="1"/>
    <col min="9" max="9" width="15.5546875" style="44" customWidth="1"/>
    <col min="10" max="10" width="9.109375" style="44"/>
    <col min="11" max="11" width="10.33203125" style="44" bestFit="1" customWidth="1"/>
    <col min="12" max="12" width="9.109375" style="44" customWidth="1"/>
    <col min="13" max="13" width="12.44140625" style="44" customWidth="1"/>
    <col min="14" max="14" width="16" style="44" customWidth="1"/>
    <col min="15" max="15" width="10.33203125" style="44" customWidth="1"/>
    <col min="16" max="21" width="9.109375" style="44" customWidth="1"/>
    <col min="22" max="22" width="9.6640625" style="44" customWidth="1"/>
    <col min="23" max="33" width="9.109375" style="44" customWidth="1"/>
    <col min="34" max="16384" width="9.109375" style="44"/>
  </cols>
  <sheetData>
    <row r="1" spans="3:11" x14ac:dyDescent="0.2">
      <c r="C1" s="222" t="s">
        <v>852</v>
      </c>
    </row>
    <row r="3" spans="3:11" x14ac:dyDescent="0.2">
      <c r="C3" s="68" t="s">
        <v>13</v>
      </c>
    </row>
    <row r="4" spans="3:11" x14ac:dyDescent="0.2">
      <c r="C4" s="44" t="s">
        <v>18</v>
      </c>
      <c r="F4" s="207" t="s">
        <v>14</v>
      </c>
    </row>
    <row r="5" spans="3:11" x14ac:dyDescent="0.2">
      <c r="C5" s="44" t="s">
        <v>15</v>
      </c>
      <c r="F5" s="207" t="s">
        <v>16</v>
      </c>
    </row>
    <row r="6" spans="3:11" x14ac:dyDescent="0.2">
      <c r="C6" s="44" t="s">
        <v>17</v>
      </c>
      <c r="H6" s="44" t="s">
        <v>24</v>
      </c>
      <c r="I6" s="223">
        <v>6</v>
      </c>
    </row>
    <row r="7" spans="3:11" x14ac:dyDescent="0.2">
      <c r="D7" s="207" t="s">
        <v>455</v>
      </c>
      <c r="H7" s="44" t="s">
        <v>24</v>
      </c>
      <c r="I7" s="223">
        <v>30</v>
      </c>
      <c r="J7" s="44" t="s">
        <v>19</v>
      </c>
      <c r="K7" s="44" t="s">
        <v>529</v>
      </c>
    </row>
    <row r="8" spans="3:11" x14ac:dyDescent="0.2">
      <c r="D8" s="207" t="s">
        <v>454</v>
      </c>
      <c r="H8" s="44" t="s">
        <v>24</v>
      </c>
      <c r="I8" s="67">
        <f>I7+0.6</f>
        <v>30.6</v>
      </c>
      <c r="J8" s="44" t="s">
        <v>19</v>
      </c>
      <c r="K8" s="44" t="s">
        <v>530</v>
      </c>
    </row>
    <row r="9" spans="3:11" x14ac:dyDescent="0.2">
      <c r="D9" s="207" t="s">
        <v>426</v>
      </c>
      <c r="H9" s="44" t="s">
        <v>24</v>
      </c>
      <c r="I9" s="223">
        <v>11.5</v>
      </c>
      <c r="J9" s="44" t="s">
        <v>19</v>
      </c>
    </row>
    <row r="10" spans="3:11" x14ac:dyDescent="0.2">
      <c r="D10" s="207" t="s">
        <v>61</v>
      </c>
      <c r="H10" s="44" t="s">
        <v>24</v>
      </c>
      <c r="I10" s="223">
        <v>0.6</v>
      </c>
      <c r="J10" s="44" t="s">
        <v>19</v>
      </c>
    </row>
    <row r="11" spans="3:11" x14ac:dyDescent="0.2">
      <c r="D11" s="207" t="s">
        <v>1047</v>
      </c>
      <c r="I11" s="223">
        <v>1.5</v>
      </c>
      <c r="J11" s="44" t="s">
        <v>19</v>
      </c>
    </row>
    <row r="12" spans="3:11" x14ac:dyDescent="0.2">
      <c r="D12" s="207" t="s">
        <v>340</v>
      </c>
      <c r="H12" s="44" t="s">
        <v>24</v>
      </c>
      <c r="I12" s="67">
        <f>I9+I10+I11</f>
        <v>13.6</v>
      </c>
      <c r="J12" s="44" t="s">
        <v>19</v>
      </c>
    </row>
    <row r="13" spans="3:11" x14ac:dyDescent="0.2">
      <c r="D13" s="207" t="s">
        <v>341</v>
      </c>
      <c r="H13" s="44" t="s">
        <v>24</v>
      </c>
      <c r="I13" s="224">
        <v>2.4</v>
      </c>
      <c r="J13" s="44" t="s">
        <v>19</v>
      </c>
      <c r="K13" s="44" t="s">
        <v>429</v>
      </c>
    </row>
    <row r="14" spans="3:11" x14ac:dyDescent="0.2">
      <c r="D14" s="207" t="s">
        <v>342</v>
      </c>
      <c r="H14" s="44" t="s">
        <v>24</v>
      </c>
      <c r="I14" s="225">
        <f>(I12-I13*(I6-1))/2</f>
        <v>0.79999999999999982</v>
      </c>
    </row>
    <row r="15" spans="3:11" x14ac:dyDescent="0.2">
      <c r="D15" s="207" t="s">
        <v>343</v>
      </c>
      <c r="H15" s="44" t="s">
        <v>24</v>
      </c>
      <c r="I15" s="224">
        <v>15</v>
      </c>
      <c r="J15" s="44" t="s">
        <v>19</v>
      </c>
      <c r="K15" s="44" t="s">
        <v>1065</v>
      </c>
    </row>
    <row r="16" spans="3:11" ht="12.55" x14ac:dyDescent="0.2">
      <c r="D16" s="207" t="s">
        <v>344</v>
      </c>
      <c r="H16" s="44" t="s">
        <v>24</v>
      </c>
      <c r="I16" s="80">
        <v>24</v>
      </c>
      <c r="J16" s="44" t="s">
        <v>916</v>
      </c>
      <c r="K16" s="44" t="s">
        <v>1050</v>
      </c>
    </row>
    <row r="17" spans="3:18" ht="12.55" x14ac:dyDescent="0.2">
      <c r="D17" s="207" t="s">
        <v>1048</v>
      </c>
      <c r="I17" s="80">
        <v>25</v>
      </c>
      <c r="J17" s="44" t="s">
        <v>916</v>
      </c>
      <c r="K17" s="44" t="s">
        <v>1051</v>
      </c>
    </row>
    <row r="18" spans="3:18" ht="12.55" x14ac:dyDescent="0.2">
      <c r="D18" s="207" t="s">
        <v>469</v>
      </c>
      <c r="I18" s="80">
        <v>22</v>
      </c>
      <c r="J18" s="44" t="s">
        <v>916</v>
      </c>
    </row>
    <row r="19" spans="3:18" x14ac:dyDescent="0.2">
      <c r="D19" s="207" t="s">
        <v>796</v>
      </c>
      <c r="I19" s="80">
        <v>50</v>
      </c>
      <c r="J19" s="44" t="s">
        <v>42</v>
      </c>
      <c r="K19" s="44" t="s">
        <v>797</v>
      </c>
    </row>
    <row r="21" spans="3:18" x14ac:dyDescent="0.2">
      <c r="C21" s="68" t="s">
        <v>436</v>
      </c>
    </row>
    <row r="22" spans="3:18" x14ac:dyDescent="0.2">
      <c r="D22" s="44" t="s">
        <v>437</v>
      </c>
      <c r="H22" s="44" t="s">
        <v>24</v>
      </c>
      <c r="I22" s="80">
        <v>50</v>
      </c>
      <c r="J22" s="44" t="s">
        <v>165</v>
      </c>
      <c r="K22" s="44" t="s">
        <v>592</v>
      </c>
      <c r="L22" s="80"/>
    </row>
    <row r="23" spans="3:18" x14ac:dyDescent="0.2">
      <c r="D23" s="44" t="s">
        <v>438</v>
      </c>
      <c r="H23" s="44" t="s">
        <v>24</v>
      </c>
      <c r="I23" s="44">
        <f>fck</f>
        <v>50</v>
      </c>
      <c r="J23" s="44" t="s">
        <v>165</v>
      </c>
    </row>
    <row r="24" spans="3:18" s="49" customFormat="1" x14ac:dyDescent="0.2">
      <c r="C24" s="51"/>
      <c r="D24" s="226" t="s">
        <v>782</v>
      </c>
      <c r="H24" s="49" t="s">
        <v>917</v>
      </c>
      <c r="I24" s="58">
        <f>5700*(I22)^0.5</f>
        <v>40305.086527633212</v>
      </c>
      <c r="J24" s="49" t="s">
        <v>165</v>
      </c>
      <c r="K24" s="49" t="s">
        <v>579</v>
      </c>
    </row>
    <row r="25" spans="3:18" s="49" customFormat="1" x14ac:dyDescent="0.2">
      <c r="C25" s="51"/>
      <c r="D25" s="226" t="s">
        <v>510</v>
      </c>
      <c r="H25" s="49" t="s">
        <v>917</v>
      </c>
      <c r="I25" s="58">
        <f>5700*(I23)^0.5</f>
        <v>40305.086527633212</v>
      </c>
      <c r="J25" s="49" t="s">
        <v>165</v>
      </c>
    </row>
    <row r="26" spans="3:18" x14ac:dyDescent="0.2">
      <c r="D26" s="44" t="s">
        <v>511</v>
      </c>
      <c r="H26" s="44" t="s">
        <v>24</v>
      </c>
      <c r="I26" s="227">
        <f>I24/I25</f>
        <v>1</v>
      </c>
    </row>
    <row r="27" spans="3:18" x14ac:dyDescent="0.2">
      <c r="D27" s="44" t="s">
        <v>512</v>
      </c>
      <c r="H27" s="44" t="s">
        <v>24</v>
      </c>
      <c r="I27" s="157">
        <f>I47/I24</f>
        <v>4.9621528504319121</v>
      </c>
      <c r="K27" s="44" t="s">
        <v>674</v>
      </c>
    </row>
    <row r="28" spans="3:18" x14ac:dyDescent="0.2">
      <c r="I28" s="157"/>
    </row>
    <row r="29" spans="3:18" x14ac:dyDescent="0.2">
      <c r="D29" s="44" t="s">
        <v>440</v>
      </c>
      <c r="I29" s="157"/>
    </row>
    <row r="30" spans="3:18" x14ac:dyDescent="0.2">
      <c r="D30" s="44" t="s">
        <v>441</v>
      </c>
      <c r="H30" s="44" t="s">
        <v>24</v>
      </c>
      <c r="I30" s="228">
        <v>4.0000000000000002E-4</v>
      </c>
      <c r="J30" s="49" t="s">
        <v>210</v>
      </c>
      <c r="K30" s="44" t="s">
        <v>712</v>
      </c>
    </row>
    <row r="31" spans="3:18" ht="11.9" x14ac:dyDescent="0.25">
      <c r="D31" s="226" t="s">
        <v>439</v>
      </c>
      <c r="G31" s="49" t="s">
        <v>918</v>
      </c>
      <c r="H31" s="49" t="s">
        <v>24</v>
      </c>
      <c r="I31" s="228">
        <v>1.9000000000000001E-4</v>
      </c>
      <c r="J31" s="49" t="s">
        <v>210</v>
      </c>
      <c r="K31" s="44" t="s">
        <v>711</v>
      </c>
      <c r="O31" s="44" t="s">
        <v>839</v>
      </c>
    </row>
    <row r="32" spans="3:18" x14ac:dyDescent="0.2">
      <c r="D32" s="49" t="s">
        <v>245</v>
      </c>
      <c r="E32" s="49"/>
      <c r="H32" s="49" t="s">
        <v>24</v>
      </c>
      <c r="I32" s="328">
        <f>interp(alfp,O32:R32,O33:R33)</f>
        <v>2.5</v>
      </c>
      <c r="J32" s="49" t="s">
        <v>68</v>
      </c>
      <c r="K32" s="44" t="s">
        <v>710</v>
      </c>
      <c r="N32" s="44" t="s">
        <v>709</v>
      </c>
      <c r="O32" s="44">
        <v>0.5</v>
      </c>
      <c r="P32" s="44">
        <v>0.6</v>
      </c>
      <c r="Q32" s="44">
        <v>0.7</v>
      </c>
      <c r="R32" s="44">
        <v>0.8</v>
      </c>
    </row>
    <row r="33" spans="3:18" x14ac:dyDescent="0.2">
      <c r="D33" s="49"/>
      <c r="E33" s="49"/>
      <c r="H33" s="49"/>
      <c r="I33" s="229"/>
      <c r="J33" s="49"/>
      <c r="N33" s="44" t="s">
        <v>68</v>
      </c>
      <c r="O33" s="44">
        <v>0</v>
      </c>
      <c r="P33" s="44">
        <v>1.25</v>
      </c>
      <c r="Q33" s="44">
        <v>2.5</v>
      </c>
      <c r="R33" s="44">
        <v>4.5</v>
      </c>
    </row>
    <row r="34" spans="3:18" x14ac:dyDescent="0.2">
      <c r="D34" s="68" t="s">
        <v>442</v>
      </c>
    </row>
    <row r="35" spans="3:18" x14ac:dyDescent="0.2">
      <c r="D35" s="68" t="s">
        <v>800</v>
      </c>
    </row>
    <row r="36" spans="3:18" x14ac:dyDescent="0.2">
      <c r="D36" s="44" t="s">
        <v>801</v>
      </c>
      <c r="H36" s="44" t="s">
        <v>24</v>
      </c>
      <c r="I36" s="44" t="s">
        <v>802</v>
      </c>
    </row>
    <row r="37" spans="3:18" x14ac:dyDescent="0.2">
      <c r="D37" s="44" t="s">
        <v>803</v>
      </c>
      <c r="H37" s="44" t="s">
        <v>24</v>
      </c>
      <c r="I37" s="80">
        <v>100</v>
      </c>
      <c r="J37" s="44" t="s">
        <v>42</v>
      </c>
      <c r="K37" s="44" t="s">
        <v>826</v>
      </c>
    </row>
    <row r="38" spans="3:18" x14ac:dyDescent="0.2">
      <c r="D38" s="44" t="s">
        <v>830</v>
      </c>
      <c r="H38" s="44" t="s">
        <v>24</v>
      </c>
      <c r="I38" s="80">
        <v>2.5</v>
      </c>
      <c r="J38" s="44" t="s">
        <v>42</v>
      </c>
      <c r="K38" s="44" t="s">
        <v>431</v>
      </c>
    </row>
    <row r="39" spans="3:18" x14ac:dyDescent="0.2">
      <c r="C39" s="67" t="s">
        <v>115</v>
      </c>
      <c r="D39" s="44" t="s">
        <v>443</v>
      </c>
    </row>
    <row r="40" spans="3:18" x14ac:dyDescent="0.2">
      <c r="C40" s="67"/>
      <c r="D40" s="44" t="s">
        <v>696</v>
      </c>
    </row>
    <row r="41" spans="3:18" x14ac:dyDescent="0.2">
      <c r="C41" s="67"/>
      <c r="D41" s="44" t="s">
        <v>721</v>
      </c>
    </row>
    <row r="42" spans="3:18" x14ac:dyDescent="0.2">
      <c r="C42" s="67"/>
      <c r="D42" s="44" t="s">
        <v>697</v>
      </c>
      <c r="I42" s="44">
        <v>15.7</v>
      </c>
      <c r="J42" s="44" t="s">
        <v>42</v>
      </c>
    </row>
    <row r="43" spans="3:18" ht="12.55" x14ac:dyDescent="0.2">
      <c r="C43" s="67"/>
      <c r="D43" s="44" t="s">
        <v>698</v>
      </c>
      <c r="I43" s="80">
        <v>150</v>
      </c>
      <c r="J43" s="44" t="s">
        <v>919</v>
      </c>
    </row>
    <row r="44" spans="3:18" x14ac:dyDescent="0.2">
      <c r="C44" s="67"/>
      <c r="D44" s="44" t="s">
        <v>699</v>
      </c>
      <c r="I44" s="80">
        <v>1860</v>
      </c>
      <c r="J44" s="44" t="s">
        <v>165</v>
      </c>
      <c r="K44" s="44" t="s">
        <v>709</v>
      </c>
    </row>
    <row r="45" spans="3:18" x14ac:dyDescent="0.2">
      <c r="C45" s="67"/>
      <c r="D45" s="44" t="s">
        <v>700</v>
      </c>
      <c r="I45" s="80">
        <v>20</v>
      </c>
      <c r="J45" s="44" t="s">
        <v>1059</v>
      </c>
    </row>
    <row r="46" spans="3:18" x14ac:dyDescent="0.2">
      <c r="C46" s="67"/>
      <c r="D46" s="44" t="s">
        <v>708</v>
      </c>
      <c r="I46" s="80">
        <v>0.7</v>
      </c>
      <c r="J46" s="44" t="s">
        <v>709</v>
      </c>
      <c r="K46" s="44" t="s">
        <v>838</v>
      </c>
    </row>
    <row r="47" spans="3:18" s="49" customFormat="1" ht="18.8" customHeight="1" x14ac:dyDescent="0.2">
      <c r="C47" s="51"/>
      <c r="D47" s="226" t="s">
        <v>323</v>
      </c>
      <c r="H47" s="49" t="s">
        <v>546</v>
      </c>
      <c r="I47" s="229">
        <f>2*100000</f>
        <v>200000</v>
      </c>
      <c r="J47" s="49" t="s">
        <v>165</v>
      </c>
    </row>
    <row r="48" spans="3:18" x14ac:dyDescent="0.2">
      <c r="D48" s="207" t="s">
        <v>508</v>
      </c>
      <c r="H48" s="44" t="s">
        <v>24</v>
      </c>
      <c r="I48" s="44">
        <f>I43*I45/100</f>
        <v>30</v>
      </c>
      <c r="J48" s="44" t="s">
        <v>509</v>
      </c>
      <c r="K48" s="44" t="s">
        <v>547</v>
      </c>
    </row>
    <row r="49" spans="3:12" x14ac:dyDescent="0.2">
      <c r="D49" s="207" t="s">
        <v>376</v>
      </c>
      <c r="H49" s="44" t="s">
        <v>24</v>
      </c>
      <c r="I49" s="157">
        <f>Aps*alfp*fp*100/10</f>
        <v>390600</v>
      </c>
      <c r="J49" s="44" t="s">
        <v>43</v>
      </c>
      <c r="K49" s="44" t="s">
        <v>536</v>
      </c>
      <c r="L49" s="44">
        <f>Pj/1000</f>
        <v>390.6</v>
      </c>
    </row>
    <row r="50" spans="3:12" x14ac:dyDescent="0.2">
      <c r="D50" s="207" t="s">
        <v>735</v>
      </c>
      <c r="H50" s="44" t="s">
        <v>24</v>
      </c>
      <c r="I50" s="214">
        <f>no</f>
        <v>3</v>
      </c>
      <c r="K50" s="44" t="s">
        <v>736</v>
      </c>
    </row>
    <row r="51" spans="3:12" x14ac:dyDescent="0.2">
      <c r="C51" s="67" t="s">
        <v>117</v>
      </c>
      <c r="D51" s="207" t="s">
        <v>444</v>
      </c>
      <c r="I51" s="182"/>
    </row>
    <row r="52" spans="3:12" x14ac:dyDescent="0.2">
      <c r="C52" s="67"/>
      <c r="D52" s="207" t="str">
        <f>"HYSD bars Grade Fe "&amp;(415)&amp;" conforming to IS:1786"</f>
        <v>HYSD bars Grade Fe 415 conforming to IS:1786</v>
      </c>
      <c r="H52" s="44" t="s">
        <v>24</v>
      </c>
      <c r="I52" s="80">
        <v>500</v>
      </c>
      <c r="J52" s="44" t="s">
        <v>165</v>
      </c>
      <c r="K52" s="44" t="s">
        <v>774</v>
      </c>
    </row>
    <row r="53" spans="3:12" x14ac:dyDescent="0.2">
      <c r="C53" s="67"/>
      <c r="D53" s="207" t="s">
        <v>831</v>
      </c>
      <c r="H53" s="44" t="s">
        <v>24</v>
      </c>
      <c r="I53" s="80">
        <v>250</v>
      </c>
      <c r="J53" s="44" t="s">
        <v>165</v>
      </c>
      <c r="K53" s="44" t="s">
        <v>832</v>
      </c>
    </row>
    <row r="54" spans="3:12" x14ac:dyDescent="0.2">
      <c r="D54" s="68" t="s">
        <v>114</v>
      </c>
      <c r="E54" s="67"/>
    </row>
    <row r="55" spans="3:12" x14ac:dyDescent="0.2">
      <c r="C55" s="67" t="s">
        <v>115</v>
      </c>
      <c r="D55" s="44" t="s">
        <v>116</v>
      </c>
      <c r="E55" s="67"/>
    </row>
    <row r="56" spans="3:12" ht="12.55" x14ac:dyDescent="0.2">
      <c r="C56" s="67"/>
      <c r="D56" s="207" t="s">
        <v>345</v>
      </c>
      <c r="H56" s="44" t="s">
        <v>24</v>
      </c>
      <c r="I56" s="44">
        <f>0.5*I22*10</f>
        <v>250</v>
      </c>
      <c r="J56" s="44" t="s">
        <v>915</v>
      </c>
      <c r="K56" s="44" t="s">
        <v>409</v>
      </c>
    </row>
    <row r="57" spans="3:12" ht="12.55" x14ac:dyDescent="0.2">
      <c r="C57" s="67"/>
      <c r="D57" s="207" t="s">
        <v>346</v>
      </c>
      <c r="H57" s="44" t="s">
        <v>24</v>
      </c>
      <c r="I57" s="44">
        <f>0.1*I56</f>
        <v>25</v>
      </c>
      <c r="J57" s="44" t="s">
        <v>915</v>
      </c>
    </row>
    <row r="58" spans="3:12" x14ac:dyDescent="0.2">
      <c r="C58" s="67"/>
      <c r="D58" s="207"/>
    </row>
    <row r="59" spans="3:12" x14ac:dyDescent="0.2">
      <c r="C59" s="67" t="s">
        <v>117</v>
      </c>
      <c r="D59" s="44" t="s">
        <v>118</v>
      </c>
      <c r="E59" s="67"/>
    </row>
    <row r="60" spans="3:12" ht="12.55" x14ac:dyDescent="0.2">
      <c r="D60" s="207" t="s">
        <v>345</v>
      </c>
      <c r="H60" s="44" t="s">
        <v>24</v>
      </c>
      <c r="I60" s="44">
        <f>+I22*0.33*10</f>
        <v>165</v>
      </c>
      <c r="J60" s="44" t="s">
        <v>915</v>
      </c>
      <c r="K60" s="44" t="s">
        <v>146</v>
      </c>
    </row>
    <row r="61" spans="3:12" ht="12.55" x14ac:dyDescent="0.2">
      <c r="D61" s="207" t="s">
        <v>346</v>
      </c>
      <c r="H61" s="44" t="s">
        <v>24</v>
      </c>
      <c r="I61" s="44">
        <v>0</v>
      </c>
      <c r="J61" s="44" t="s">
        <v>915</v>
      </c>
    </row>
    <row r="62" spans="3:12" x14ac:dyDescent="0.2">
      <c r="E62" s="67"/>
    </row>
    <row r="63" spans="3:12" x14ac:dyDescent="0.2">
      <c r="C63" s="67" t="s">
        <v>445</v>
      </c>
      <c r="D63" s="44" t="s">
        <v>119</v>
      </c>
      <c r="E63" s="67"/>
    </row>
    <row r="64" spans="3:12" ht="12.55" x14ac:dyDescent="0.2">
      <c r="D64" s="67" t="s">
        <v>347</v>
      </c>
      <c r="H64" s="44" t="s">
        <v>24</v>
      </c>
      <c r="I64" s="44">
        <f>0.7*150</f>
        <v>105</v>
      </c>
      <c r="J64" s="44" t="s">
        <v>920</v>
      </c>
    </row>
    <row r="65" spans="4:10" ht="12.55" x14ac:dyDescent="0.2">
      <c r="D65" s="67" t="s">
        <v>348</v>
      </c>
      <c r="H65" s="44" t="s">
        <v>24</v>
      </c>
      <c r="I65" s="44">
        <f>0.6*150</f>
        <v>90</v>
      </c>
      <c r="J65" s="44" t="s">
        <v>920</v>
      </c>
    </row>
    <row r="66" spans="4:10" ht="12.55" x14ac:dyDescent="0.2">
      <c r="D66" s="44" t="s">
        <v>349</v>
      </c>
      <c r="E66" s="67"/>
      <c r="H66" s="44" t="s">
        <v>24</v>
      </c>
      <c r="I66" s="80">
        <v>2000</v>
      </c>
      <c r="J66" s="44" t="s">
        <v>915</v>
      </c>
    </row>
    <row r="67" spans="4:10" x14ac:dyDescent="0.2">
      <c r="E67" s="67"/>
    </row>
    <row r="68" spans="4:10" x14ac:dyDescent="0.2">
      <c r="D68" s="68" t="s">
        <v>20</v>
      </c>
    </row>
    <row r="69" spans="4:10" x14ac:dyDescent="0.2">
      <c r="D69" s="44" t="s">
        <v>61</v>
      </c>
      <c r="F69" s="67"/>
    </row>
    <row r="70" spans="4:10" x14ac:dyDescent="0.2">
      <c r="D70" s="207" t="s">
        <v>350</v>
      </c>
      <c r="H70" s="44" t="s">
        <v>24</v>
      </c>
      <c r="I70" s="44">
        <v>0.6</v>
      </c>
      <c r="J70" s="44" t="s">
        <v>19</v>
      </c>
    </row>
    <row r="71" spans="4:10" x14ac:dyDescent="0.2">
      <c r="D71" s="207" t="s">
        <v>351</v>
      </c>
      <c r="H71" s="44" t="s">
        <v>24</v>
      </c>
      <c r="I71" s="44">
        <v>0.38</v>
      </c>
      <c r="J71" s="44" t="s">
        <v>19</v>
      </c>
    </row>
    <row r="72" spans="4:10" ht="12.55" x14ac:dyDescent="0.2">
      <c r="D72" s="207" t="s">
        <v>921</v>
      </c>
      <c r="H72" s="44" t="s">
        <v>24</v>
      </c>
      <c r="I72" s="44">
        <f>gd*I71</f>
        <v>9.120000000000001</v>
      </c>
      <c r="J72" s="44" t="s">
        <v>922</v>
      </c>
    </row>
    <row r="73" spans="4:10" ht="12.55" x14ac:dyDescent="0.2">
      <c r="D73" s="207" t="s">
        <v>352</v>
      </c>
      <c r="H73" s="44" t="s">
        <v>24</v>
      </c>
      <c r="I73" s="44">
        <v>5</v>
      </c>
      <c r="J73" s="44" t="s">
        <v>922</v>
      </c>
    </row>
    <row r="74" spans="4:10" ht="12.55" x14ac:dyDescent="0.2">
      <c r="D74" s="207" t="s">
        <v>353</v>
      </c>
      <c r="H74" s="44" t="s">
        <v>24</v>
      </c>
      <c r="I74" s="44">
        <f>I72+I73</f>
        <v>14.120000000000001</v>
      </c>
      <c r="J74" s="44" t="s">
        <v>922</v>
      </c>
    </row>
    <row r="75" spans="4:10" x14ac:dyDescent="0.2">
      <c r="D75" s="67"/>
    </row>
    <row r="76" spans="4:10" x14ac:dyDescent="0.2">
      <c r="D76" s="44" t="s">
        <v>62</v>
      </c>
    </row>
    <row r="77" spans="4:10" x14ac:dyDescent="0.2">
      <c r="D77" s="207" t="s">
        <v>359</v>
      </c>
    </row>
    <row r="78" spans="4:10" x14ac:dyDescent="0.2">
      <c r="D78" s="207" t="s">
        <v>351</v>
      </c>
      <c r="H78" s="44" t="s">
        <v>24</v>
      </c>
      <c r="I78" s="44">
        <v>1</v>
      </c>
      <c r="J78" s="44" t="s">
        <v>19</v>
      </c>
    </row>
    <row r="79" spans="4:10" x14ac:dyDescent="0.2">
      <c r="D79" s="207" t="s">
        <v>350</v>
      </c>
      <c r="H79" s="44" t="s">
        <v>24</v>
      </c>
      <c r="I79" s="44">
        <v>0.15</v>
      </c>
      <c r="J79" s="44" t="s">
        <v>19</v>
      </c>
    </row>
    <row r="80" spans="4:10" x14ac:dyDescent="0.2">
      <c r="D80" s="207" t="s">
        <v>354</v>
      </c>
      <c r="H80" s="44" t="s">
        <v>24</v>
      </c>
      <c r="I80" s="44">
        <v>0.15</v>
      </c>
      <c r="J80" s="44" t="s">
        <v>19</v>
      </c>
    </row>
    <row r="81" spans="3:11" x14ac:dyDescent="0.2">
      <c r="D81" s="207" t="s">
        <v>355</v>
      </c>
      <c r="H81" s="44" t="s">
        <v>24</v>
      </c>
      <c r="I81" s="44">
        <f>$I$16*I78*I79*I80</f>
        <v>0.53999999999999992</v>
      </c>
      <c r="J81" s="44" t="s">
        <v>25</v>
      </c>
    </row>
    <row r="82" spans="3:11" x14ac:dyDescent="0.2">
      <c r="D82" s="207" t="s">
        <v>356</v>
      </c>
      <c r="H82" s="44" t="s">
        <v>24</v>
      </c>
      <c r="I82" s="44">
        <v>1</v>
      </c>
      <c r="J82" s="44" t="s">
        <v>19</v>
      </c>
    </row>
    <row r="83" spans="3:11" x14ac:dyDescent="0.2">
      <c r="D83" s="207" t="s">
        <v>63</v>
      </c>
    </row>
    <row r="84" spans="3:11" x14ac:dyDescent="0.2">
      <c r="D84" s="207" t="s">
        <v>64</v>
      </c>
    </row>
    <row r="85" spans="3:11" x14ac:dyDescent="0.2">
      <c r="D85" s="207" t="s">
        <v>357</v>
      </c>
      <c r="H85" s="44" t="s">
        <v>24</v>
      </c>
      <c r="I85" s="44">
        <v>6.54</v>
      </c>
      <c r="J85" s="44" t="s">
        <v>69</v>
      </c>
    </row>
    <row r="86" spans="3:11" x14ac:dyDescent="0.2">
      <c r="D86" s="207" t="s">
        <v>358</v>
      </c>
      <c r="H86" s="44" t="s">
        <v>24</v>
      </c>
      <c r="I86" s="227">
        <f>3*I82*I85/100+I81</f>
        <v>0.73619999999999997</v>
      </c>
      <c r="J86" s="44" t="s">
        <v>25</v>
      </c>
    </row>
    <row r="87" spans="3:11" x14ac:dyDescent="0.2">
      <c r="D87" s="67"/>
    </row>
    <row r="88" spans="3:11" x14ac:dyDescent="0.2">
      <c r="C88" s="44" t="s">
        <v>70</v>
      </c>
      <c r="D88" s="67"/>
    </row>
    <row r="89" spans="3:11" x14ac:dyDescent="0.2">
      <c r="D89" s="207" t="s">
        <v>71</v>
      </c>
      <c r="H89" s="44" t="s">
        <v>24</v>
      </c>
      <c r="I89" s="44">
        <v>80</v>
      </c>
      <c r="J89" s="44" t="s">
        <v>42</v>
      </c>
      <c r="K89" s="44" t="s">
        <v>981</v>
      </c>
    </row>
    <row r="90" spans="3:11" ht="12.55" x14ac:dyDescent="0.2">
      <c r="D90" s="207" t="s">
        <v>921</v>
      </c>
      <c r="H90" s="44" t="s">
        <v>24</v>
      </c>
      <c r="I90" s="44">
        <f>I18*I89/1000</f>
        <v>1.76</v>
      </c>
      <c r="J90" s="44" t="s">
        <v>922</v>
      </c>
    </row>
    <row r="91" spans="3:11" ht="12.55" x14ac:dyDescent="0.2">
      <c r="D91" s="207" t="s">
        <v>1054</v>
      </c>
      <c r="H91" s="44" t="s">
        <v>24</v>
      </c>
      <c r="I91" s="44">
        <f>2/100*I9/4*gd</f>
        <v>1.3800000000000001</v>
      </c>
      <c r="J91" s="44" t="s">
        <v>922</v>
      </c>
    </row>
    <row r="92" spans="3:11" ht="12.55" x14ac:dyDescent="0.2">
      <c r="D92" s="207" t="s">
        <v>666</v>
      </c>
      <c r="H92" s="44" t="s">
        <v>24</v>
      </c>
      <c r="I92" s="44">
        <f>SUM(I90:I91)</f>
        <v>3.14</v>
      </c>
      <c r="J92" s="44" t="s">
        <v>922</v>
      </c>
    </row>
    <row r="93" spans="3:11" ht="12.55" x14ac:dyDescent="0.2">
      <c r="D93" s="44" t="s">
        <v>470</v>
      </c>
      <c r="H93" s="44" t="s">
        <v>24</v>
      </c>
      <c r="I93" s="44">
        <v>4</v>
      </c>
      <c r="J93" s="44" t="s">
        <v>922</v>
      </c>
    </row>
    <row r="94" spans="3:11" x14ac:dyDescent="0.2">
      <c r="D94" s="222" t="s">
        <v>751</v>
      </c>
    </row>
    <row r="95" spans="3:11" x14ac:dyDescent="0.2">
      <c r="D95" s="207" t="s">
        <v>360</v>
      </c>
      <c r="H95" s="44" t="s">
        <v>24</v>
      </c>
      <c r="I95" s="80">
        <v>70</v>
      </c>
      <c r="J95" s="44" t="s">
        <v>21</v>
      </c>
      <c r="K95" s="44" t="s">
        <v>739</v>
      </c>
    </row>
    <row r="96" spans="3:11" x14ac:dyDescent="0.2">
      <c r="D96" s="207" t="s">
        <v>361</v>
      </c>
      <c r="H96" s="44" t="s">
        <v>24</v>
      </c>
      <c r="I96" s="80">
        <v>70</v>
      </c>
      <c r="J96" s="44" t="s">
        <v>21</v>
      </c>
      <c r="K96" s="44" t="s">
        <v>738</v>
      </c>
    </row>
    <row r="97" spans="1:28" x14ac:dyDescent="0.2">
      <c r="D97" s="207" t="s">
        <v>362</v>
      </c>
      <c r="H97" s="44" t="s">
        <v>24</v>
      </c>
      <c r="I97" s="80">
        <v>30</v>
      </c>
      <c r="J97" s="44" t="s">
        <v>21</v>
      </c>
      <c r="K97" s="44" t="s">
        <v>737</v>
      </c>
    </row>
    <row r="98" spans="1:28" x14ac:dyDescent="0.2">
      <c r="D98" s="44" t="s">
        <v>425</v>
      </c>
      <c r="H98" s="44" t="s">
        <v>24</v>
      </c>
      <c r="I98" s="80">
        <v>180</v>
      </c>
      <c r="J98" s="44" t="s">
        <v>21</v>
      </c>
      <c r="K98" s="44" t="s">
        <v>430</v>
      </c>
    </row>
    <row r="99" spans="1:28" ht="11.3" thickBot="1" x14ac:dyDescent="0.25">
      <c r="D99" s="44" t="s">
        <v>427</v>
      </c>
      <c r="H99" s="44" t="s">
        <v>24</v>
      </c>
      <c r="I99" s="80">
        <v>25</v>
      </c>
      <c r="J99" s="44" t="s">
        <v>21</v>
      </c>
      <c r="K99" s="44" t="s">
        <v>740</v>
      </c>
    </row>
    <row r="100" spans="1:28" ht="11.3" thickBot="1" x14ac:dyDescent="0.25">
      <c r="A100" s="209" t="s">
        <v>0</v>
      </c>
      <c r="B100" s="210" t="s">
        <v>1</v>
      </c>
      <c r="P100" s="157">
        <f>I133-A101</f>
        <v>0</v>
      </c>
    </row>
    <row r="101" spans="1:28" ht="12.55" x14ac:dyDescent="0.2">
      <c r="A101" s="230">
        <v>0</v>
      </c>
      <c r="B101" s="230">
        <v>0</v>
      </c>
      <c r="L101" s="131"/>
      <c r="M101" s="131"/>
      <c r="N101" s="131" t="s">
        <v>2</v>
      </c>
      <c r="O101" s="131" t="s">
        <v>3</v>
      </c>
      <c r="P101" s="131" t="s">
        <v>907</v>
      </c>
      <c r="Q101" s="131" t="s">
        <v>4</v>
      </c>
      <c r="R101" s="131" t="s">
        <v>908</v>
      </c>
      <c r="S101" s="131" t="s">
        <v>5</v>
      </c>
      <c r="T101" s="44">
        <f t="shared" ref="T101:T130" si="0">U101*W101</f>
        <v>0</v>
      </c>
      <c r="U101" s="67">
        <v>1</v>
      </c>
      <c r="V101" s="67"/>
      <c r="W101" s="44">
        <f>(A101-A101)</f>
        <v>0</v>
      </c>
      <c r="AB101" s="44" t="s">
        <v>22</v>
      </c>
    </row>
    <row r="102" spans="1:28" x14ac:dyDescent="0.2">
      <c r="A102" s="216">
        <f>I96/2</f>
        <v>35</v>
      </c>
      <c r="B102" s="230">
        <v>0</v>
      </c>
      <c r="L102" s="44">
        <f t="shared" ref="L102:L130" si="1">T101+(T102-T101)/2</f>
        <v>17.5</v>
      </c>
      <c r="M102" s="44">
        <f t="shared" ref="M102:M130" si="2">B102-B101</f>
        <v>0</v>
      </c>
      <c r="N102" s="44">
        <f t="shared" ref="N102:N130" si="3">L102*M102</f>
        <v>0</v>
      </c>
      <c r="O102" s="44">
        <f t="shared" ref="O102:O130" si="4">T101^2/2*M102+(T102-T101)/2*M102*(T101+(T102-T101)/3)</f>
        <v>0</v>
      </c>
      <c r="P102" s="44">
        <f>(B102-B101)*T101^3/12+(B102-B101)*T101*(T101/2-P100)^2+(B102-B101)*(T102-T101)^3/36+(B102-B101)*(T102-T101)/2*(T101+(T102-T101)/3-P100)^2</f>
        <v>0</v>
      </c>
      <c r="Q102" s="44">
        <f t="shared" ref="Q102:Q130" si="5">T101*(B102-B101)*(B101+(B102-B101)/2)+(T102-T101)/2*(B102-B101)*(B101+2/3*(B102-B101))</f>
        <v>0</v>
      </c>
      <c r="R102" s="44">
        <f>T101*(B102-B101)^3/12+T101*(B102-B101)*(B101+(B102-B101)/2-I134)^2+(T102-T101)*(B102-B101)^3/36+(T102-T101)/2*(B102-B101)*(B101+2/3*(B102-B101)-I134)^2</f>
        <v>0</v>
      </c>
      <c r="S102" s="213">
        <f t="shared" ref="S102:S130" si="6">T101^2/2*M102*(B101+(B102-B101)/2)+(T102-T101)/2*M102*(T101+(T102-T101)/3)*(B101+2/3*(B102-B101))</f>
        <v>0</v>
      </c>
      <c r="T102" s="44">
        <f t="shared" si="0"/>
        <v>35</v>
      </c>
      <c r="U102" s="67">
        <v>1</v>
      </c>
      <c r="V102" s="67">
        <f>IF(AND(W102=W101,B102=B101),A,1)</f>
        <v>1</v>
      </c>
      <c r="W102" s="44">
        <f>(A102-A101)</f>
        <v>35</v>
      </c>
    </row>
    <row r="103" spans="1:28" x14ac:dyDescent="0.2">
      <c r="A103" s="216">
        <f>A102</f>
        <v>35</v>
      </c>
      <c r="B103" s="230">
        <v>25</v>
      </c>
      <c r="L103" s="44">
        <f t="shared" si="1"/>
        <v>35</v>
      </c>
      <c r="M103" s="44">
        <f t="shared" si="2"/>
        <v>25</v>
      </c>
      <c r="N103" s="44">
        <f t="shared" si="3"/>
        <v>875</v>
      </c>
      <c r="O103" s="44">
        <f t="shared" si="4"/>
        <v>15312.5</v>
      </c>
      <c r="P103" s="44">
        <f>(B103-B102)*T102^3/12+(B103-B102)*T102*(T102/2-P100)^2+(B103-B102)*(T103-T102)^3/36+(B103-B102)*(T103-T102)/2*(T102+(T103-T102)/3-P100)^2</f>
        <v>357291.66666666669</v>
      </c>
      <c r="Q103" s="44">
        <f t="shared" si="5"/>
        <v>10937.5</v>
      </c>
      <c r="R103" s="44">
        <f>T102*(B103-B102)^3/12+T102*(B103-B102)*(B102+(B103-B102)/2-I134)^2+(T103-T102)*(B103-B102)^3/36+(T103-T102)/2*(B103-B102)*(B102+2/3*(B103-B102)-I134)^2</f>
        <v>4864374.8557248395</v>
      </c>
      <c r="S103" s="213">
        <f t="shared" si="6"/>
        <v>191406.25</v>
      </c>
      <c r="T103" s="44">
        <f t="shared" si="0"/>
        <v>35</v>
      </c>
      <c r="U103" s="67">
        <v>1</v>
      </c>
      <c r="V103" s="67">
        <f>IF(AND(W103=W101,B103=B101),A,1)</f>
        <v>1</v>
      </c>
      <c r="W103" s="44">
        <f>(A103-A101)</f>
        <v>35</v>
      </c>
    </row>
    <row r="104" spans="1:28" x14ac:dyDescent="0.2">
      <c r="A104" s="216">
        <f>I97/2</f>
        <v>15</v>
      </c>
      <c r="B104" s="216">
        <f>B103+15</f>
        <v>40</v>
      </c>
      <c r="L104" s="44">
        <f t="shared" si="1"/>
        <v>25</v>
      </c>
      <c r="M104" s="44">
        <f t="shared" si="2"/>
        <v>15</v>
      </c>
      <c r="N104" s="44">
        <f t="shared" si="3"/>
        <v>375</v>
      </c>
      <c r="O104" s="44">
        <f t="shared" si="4"/>
        <v>4937.5</v>
      </c>
      <c r="P104" s="44">
        <f>(B104-B103)*T103^3/12+(B104-B103)*T103*(T103/2-P100)^2+(B104-B103)*(T104-T103)^3/36+(B104-B103)*(T104-T103)/2*(T103+(T104-T103)/3-P100)^2</f>
        <v>90625</v>
      </c>
      <c r="Q104" s="44">
        <f t="shared" si="5"/>
        <v>11812.5</v>
      </c>
      <c r="R104" s="44">
        <f>T103*(B104-B103)^3/12+T103*(B104-B103)*(B103+(B104-B103)/2-I134)^2+(T104-T103)*(B104-B103)^3/36+(T104-T103)/2*(B104-B103)*(B103+2/3*(B104-B103)-I134)^2</f>
        <v>1149732.081024931</v>
      </c>
      <c r="S104" s="213">
        <f t="shared" si="6"/>
        <v>149843.75</v>
      </c>
      <c r="T104" s="44">
        <f t="shared" si="0"/>
        <v>15</v>
      </c>
      <c r="U104" s="67">
        <f t="shared" ref="U104:U130" si="7">IF(OR(U103=0,V104="A"),0,1)</f>
        <v>1</v>
      </c>
      <c r="V104" s="67">
        <f>IF(AND(W104=W101,B104=B101),A,1)</f>
        <v>1</v>
      </c>
      <c r="W104" s="44">
        <f>(A104-A101)</f>
        <v>15</v>
      </c>
    </row>
    <row r="105" spans="1:28" x14ac:dyDescent="0.2">
      <c r="A105" s="216">
        <f>A104</f>
        <v>15</v>
      </c>
      <c r="B105" s="211">
        <f>B106-15</f>
        <v>150</v>
      </c>
      <c r="L105" s="44">
        <f t="shared" si="1"/>
        <v>15</v>
      </c>
      <c r="M105" s="44">
        <f t="shared" si="2"/>
        <v>110</v>
      </c>
      <c r="N105" s="44">
        <f t="shared" si="3"/>
        <v>1650</v>
      </c>
      <c r="O105" s="44">
        <f t="shared" si="4"/>
        <v>12375</v>
      </c>
      <c r="P105" s="44">
        <f>(B105-B104)*T104^3/12+(B105-B104)*T104*(T104/2-P100)^2+(B105-B104)*(T105-T104)^3/36+(B105-B104)*(T105-T104)/2*(T104+(T105-T104)/3-P100)^2</f>
        <v>123750</v>
      </c>
      <c r="Q105" s="44">
        <f t="shared" si="5"/>
        <v>156750</v>
      </c>
      <c r="R105" s="44">
        <f>T104*(B105-B104)^3/12+T104*(B105-B104)*(B104+(B105-B104)/2-I134)^2+(T105-T104)*(B105-B104)^3/36+(T105-T104)/2*(B105-B104)*(B104+2/3*(B105-B104)-I134)^2</f>
        <v>1777130.3670360108</v>
      </c>
      <c r="S105" s="213">
        <f t="shared" si="6"/>
        <v>1175625</v>
      </c>
      <c r="T105" s="44">
        <f t="shared" si="0"/>
        <v>15</v>
      </c>
      <c r="U105" s="67">
        <f t="shared" si="7"/>
        <v>1</v>
      </c>
      <c r="V105" s="67">
        <f>IF(AND(W105=W101,B105=B101),"A",1)</f>
        <v>1</v>
      </c>
      <c r="W105" s="44">
        <f>(A105-A101)</f>
        <v>15</v>
      </c>
    </row>
    <row r="106" spans="1:28" x14ac:dyDescent="0.2">
      <c r="A106" s="216">
        <f>I95/2</f>
        <v>35</v>
      </c>
      <c r="B106" s="211">
        <f>B107-15</f>
        <v>165</v>
      </c>
      <c r="L106" s="44">
        <f t="shared" si="1"/>
        <v>25</v>
      </c>
      <c r="M106" s="44">
        <f t="shared" si="2"/>
        <v>15</v>
      </c>
      <c r="N106" s="44">
        <f t="shared" si="3"/>
        <v>375</v>
      </c>
      <c r="O106" s="44">
        <f t="shared" si="4"/>
        <v>4937.5</v>
      </c>
      <c r="P106" s="44">
        <f>(B106-B105)*T105^3/12+(B106-B105)*T105*(T105/2-P100)^2+(B106-B105)*(T106-T105)^3/36+(B106-B105)*(T106-T105)/2*(T105+(T106-T105)/3-P100)^2</f>
        <v>90625</v>
      </c>
      <c r="Q106" s="44">
        <f t="shared" si="5"/>
        <v>59437.5</v>
      </c>
      <c r="R106" s="44">
        <f>T105*(B106-B105)^3/12+T105*(B106-B105)*(B105+(B106-B105)/2-I134)^2+(T106-T105)*(B106-B105)^3/36+(T106-T105)/2*(B106-B105)*(B105+2/3*(B106-B105)-I134)^2</f>
        <v>1939304.4494459829</v>
      </c>
      <c r="S106" s="213">
        <f t="shared" si="6"/>
        <v>785781.25</v>
      </c>
      <c r="T106" s="44">
        <f t="shared" si="0"/>
        <v>35</v>
      </c>
      <c r="U106" s="67">
        <f t="shared" si="7"/>
        <v>1</v>
      </c>
      <c r="V106" s="67">
        <f>IF(AND(W106=W101,B106=B101),"A",1)</f>
        <v>1</v>
      </c>
      <c r="W106" s="44">
        <f>(A106-A101)</f>
        <v>35</v>
      </c>
    </row>
    <row r="107" spans="1:28" x14ac:dyDescent="0.2">
      <c r="A107" s="216">
        <f>A106</f>
        <v>35</v>
      </c>
      <c r="B107" s="216">
        <f>I98</f>
        <v>180</v>
      </c>
      <c r="L107" s="44">
        <f t="shared" si="1"/>
        <v>35</v>
      </c>
      <c r="M107" s="44">
        <f t="shared" si="2"/>
        <v>15</v>
      </c>
      <c r="N107" s="44">
        <f t="shared" si="3"/>
        <v>525</v>
      </c>
      <c r="O107" s="44">
        <f t="shared" si="4"/>
        <v>9187.5</v>
      </c>
      <c r="P107" s="44">
        <f>(B107-B106)*T106^3/12+(B107-B106)*T106*(T106/2-P100)^2+(B107-B106)*(T107-T106)^3/36+(B107-B106)*(T107-T106)/2*(T106+(T107-T106)/3-P100)^2</f>
        <v>214375</v>
      </c>
      <c r="Q107" s="44">
        <f t="shared" si="5"/>
        <v>90562.5</v>
      </c>
      <c r="R107" s="44">
        <f>T106*(B107-B106)^3/12+T106*(B107-B106)*(B106+(B107-B106)/2-I134)^2+(T107-T106)*(B107-B106)^3/36+(T107-T106)/2*(B107-B106)*(B106+2/3*(B107-B106)-I134)^2</f>
        <v>3873756.4923822707</v>
      </c>
      <c r="S107" s="213">
        <f t="shared" si="6"/>
        <v>1584843.75</v>
      </c>
      <c r="T107" s="44">
        <f t="shared" si="0"/>
        <v>35</v>
      </c>
      <c r="U107" s="67">
        <f t="shared" si="7"/>
        <v>1</v>
      </c>
      <c r="V107" s="67">
        <f>IF(AND(W107=W101,B107=B101),"A",1)</f>
        <v>1</v>
      </c>
      <c r="W107" s="44">
        <f>(A107-A101)</f>
        <v>35</v>
      </c>
    </row>
    <row r="108" spans="1:28" x14ac:dyDescent="0.2">
      <c r="A108" s="216">
        <f>-A107</f>
        <v>-35</v>
      </c>
      <c r="B108" s="216">
        <f>B107</f>
        <v>180</v>
      </c>
      <c r="L108" s="44">
        <f t="shared" si="1"/>
        <v>0</v>
      </c>
      <c r="M108" s="44">
        <f t="shared" si="2"/>
        <v>0</v>
      </c>
      <c r="N108" s="44">
        <f t="shared" si="3"/>
        <v>0</v>
      </c>
      <c r="O108" s="44">
        <f t="shared" si="4"/>
        <v>0</v>
      </c>
      <c r="P108" s="44">
        <f>(B108-B107)*T107^3/12+(B108-B107)*T107*(T107/2-P100)^2+(B108-B107)*(T108-T107)^3/36+(B108-B107)*(T108-T107)/2*(T107+(T108-T107)/3-P100)^2</f>
        <v>0</v>
      </c>
      <c r="Q108" s="44">
        <f t="shared" si="5"/>
        <v>0</v>
      </c>
      <c r="R108" s="44">
        <f>T107*(B108-B107)^3/12+T107*(B108-B107)*(B107+(B108-B107)/2-I134)^2+(T108-T107)*(B108-B107)^3/36+(T108-T107)/2*(B108-B107)*(B107+2/3*(B108-B107)-I134)^2</f>
        <v>0</v>
      </c>
      <c r="S108" s="213">
        <f t="shared" si="6"/>
        <v>0</v>
      </c>
      <c r="T108" s="44">
        <f t="shared" si="0"/>
        <v>-35</v>
      </c>
      <c r="U108" s="67">
        <f t="shared" si="7"/>
        <v>1</v>
      </c>
      <c r="V108" s="67">
        <f>IF(AND(W108=W101,B108=B101),"A",1)</f>
        <v>1</v>
      </c>
      <c r="W108" s="214">
        <f>(A108-A101)</f>
        <v>-35</v>
      </c>
    </row>
    <row r="109" spans="1:28" x14ac:dyDescent="0.2">
      <c r="A109" s="216">
        <f>-A107</f>
        <v>-35</v>
      </c>
      <c r="B109" s="216">
        <f>B106</f>
        <v>165</v>
      </c>
      <c r="L109" s="44">
        <f t="shared" si="1"/>
        <v>-35</v>
      </c>
      <c r="M109" s="44">
        <f t="shared" si="2"/>
        <v>-15</v>
      </c>
      <c r="N109" s="44">
        <f t="shared" si="3"/>
        <v>525</v>
      </c>
      <c r="O109" s="44">
        <f t="shared" si="4"/>
        <v>-9187.5</v>
      </c>
      <c r="P109" s="44">
        <f>(B109-B108)*T108^3/12+(B109-B108)*T108*(T108/2-P100)^2+(B109-B108)*(T109-T108)^3/36+(B109-B108)*(T109-T108)/2*(T108+(T109-T108)/3-P100)^2</f>
        <v>214375</v>
      </c>
      <c r="Q109" s="44">
        <f t="shared" si="5"/>
        <v>90562.5</v>
      </c>
      <c r="R109" s="44">
        <f>T108*(B109-B108)^3/12+T108*(B109-B108)*(B108+(B109-B108)/2-I134)^2+(T109-T108)*(B109-B108)^3/36+(T109-T108)/2*(B109-B108)*(B108+2/3*(B109-B108)-I134)^2</f>
        <v>3873756.4923822707</v>
      </c>
      <c r="S109" s="213">
        <f t="shared" si="6"/>
        <v>-1584843.75</v>
      </c>
      <c r="T109" s="44">
        <f t="shared" si="0"/>
        <v>-35</v>
      </c>
      <c r="U109" s="67">
        <f t="shared" si="7"/>
        <v>1</v>
      </c>
      <c r="V109" s="67">
        <f>IF(AND(W109=W101,B109=B101),"A",1)</f>
        <v>1</v>
      </c>
      <c r="W109" s="44">
        <f>(A109-A101)</f>
        <v>-35</v>
      </c>
    </row>
    <row r="110" spans="1:28" x14ac:dyDescent="0.2">
      <c r="A110" s="216">
        <f>-A105</f>
        <v>-15</v>
      </c>
      <c r="B110" s="216">
        <f>B105</f>
        <v>150</v>
      </c>
      <c r="L110" s="44">
        <f t="shared" si="1"/>
        <v>-25</v>
      </c>
      <c r="M110" s="44">
        <f t="shared" si="2"/>
        <v>-15</v>
      </c>
      <c r="N110" s="44">
        <f t="shared" si="3"/>
        <v>375</v>
      </c>
      <c r="O110" s="44">
        <f t="shared" si="4"/>
        <v>-4937.5</v>
      </c>
      <c r="P110" s="44">
        <f>(B110-B109)*T109^3/12+(B110-B109)*T109*(T109/2-P100)^2+(B110-B109)*(T110-T109)^3/36+(B110-B109)*(T110-T109)/2*(T109+(T110-T109)/3-P100)^2</f>
        <v>90625</v>
      </c>
      <c r="Q110" s="44">
        <f t="shared" si="5"/>
        <v>59437.5</v>
      </c>
      <c r="R110" s="44">
        <f>T109*(B110-B109)^3/12+T109*(B110-B109)*(B109+(B110-B109)/2-I134)^2+(T110-T109)*(B110-B109)^3/36+(T110-T109)/2*(B110-B109)*(B109+2/3*(B110-B109)-I134)^2</f>
        <v>1939304.4494459829</v>
      </c>
      <c r="S110" s="213">
        <f t="shared" si="6"/>
        <v>-788281.25</v>
      </c>
      <c r="T110" s="44">
        <f t="shared" si="0"/>
        <v>-15</v>
      </c>
      <c r="U110" s="67">
        <f t="shared" si="7"/>
        <v>1</v>
      </c>
      <c r="V110" s="67">
        <f>IF(AND(W110=W101,B110=B101),"A",1)</f>
        <v>1</v>
      </c>
      <c r="W110" s="44">
        <f>(A110-A101)</f>
        <v>-15</v>
      </c>
    </row>
    <row r="111" spans="1:28" x14ac:dyDescent="0.2">
      <c r="A111" s="216">
        <f>-A104</f>
        <v>-15</v>
      </c>
      <c r="B111" s="216">
        <f>B104</f>
        <v>40</v>
      </c>
      <c r="L111" s="44">
        <f t="shared" si="1"/>
        <v>-15</v>
      </c>
      <c r="M111" s="44">
        <f t="shared" si="2"/>
        <v>-110</v>
      </c>
      <c r="N111" s="44">
        <f t="shared" si="3"/>
        <v>1650</v>
      </c>
      <c r="O111" s="44">
        <f t="shared" si="4"/>
        <v>-12375</v>
      </c>
      <c r="P111" s="44">
        <f>(B111-B110)*T110^3/12+(B111-B110)*T110*(T110/2-P100)^2+(B111-B110)*(T111-T110)^3/36+(B111-B110)*(T111-T110)/2*(T110+(T111-T110)/3-P100)^2</f>
        <v>123750</v>
      </c>
      <c r="Q111" s="44">
        <f t="shared" si="5"/>
        <v>156750</v>
      </c>
      <c r="R111" s="44">
        <f>T110*(B111-B110)^3/12+T110*(B111-B110)*(B110+(B111-B110)/2-I134)^2+(T111-T110)*(B111-B110)^3/36+(T111-T110)/2*(B111-B110)*(B110+2/3*(B111-B110)-I134)^2</f>
        <v>1777130.3670360108</v>
      </c>
      <c r="S111" s="213">
        <f t="shared" si="6"/>
        <v>-1175625</v>
      </c>
      <c r="T111" s="44">
        <f t="shared" si="0"/>
        <v>-15</v>
      </c>
      <c r="U111" s="67">
        <f t="shared" si="7"/>
        <v>1</v>
      </c>
      <c r="V111" s="67">
        <f>IF(AND(W111=W101,B111=B101),"A",1)</f>
        <v>1</v>
      </c>
      <c r="W111" s="44">
        <f>(A111-A101)</f>
        <v>-15</v>
      </c>
    </row>
    <row r="112" spans="1:28" x14ac:dyDescent="0.2">
      <c r="A112" s="216">
        <f>-A103</f>
        <v>-35</v>
      </c>
      <c r="B112" s="216">
        <f>B103</f>
        <v>25</v>
      </c>
      <c r="L112" s="44">
        <f t="shared" si="1"/>
        <v>-25</v>
      </c>
      <c r="M112" s="44">
        <f t="shared" si="2"/>
        <v>-15</v>
      </c>
      <c r="N112" s="44">
        <f t="shared" si="3"/>
        <v>375</v>
      </c>
      <c r="O112" s="44">
        <f t="shared" si="4"/>
        <v>-4937.5</v>
      </c>
      <c r="P112" s="44">
        <f>(B112-B111)*T111^3/12+(B112-B111)*T111*(T111/2-P100)^2+(B112-B111)*(T112-T111)^3/36+(B112-B111)*(T112-T111)/2*(T111+(T112-T111)/3-P100)^2</f>
        <v>90625</v>
      </c>
      <c r="Q112" s="44">
        <f t="shared" si="5"/>
        <v>11812.5</v>
      </c>
      <c r="R112" s="44">
        <f>T111*(B112-B111)^3/12+T111*(B112-B111)*(B111+(B112-B111)/2-I134)^2+(T112-T111)*(B112-B111)^3/36+(T112-T111)/2*(B112-B111)*(B111+2/3*(B112-B111)-I134)^2</f>
        <v>1149732.081024931</v>
      </c>
      <c r="S112" s="213">
        <f t="shared" si="6"/>
        <v>-152343.75</v>
      </c>
      <c r="T112" s="44">
        <f t="shared" si="0"/>
        <v>-35</v>
      </c>
      <c r="U112" s="67">
        <f t="shared" si="7"/>
        <v>1</v>
      </c>
      <c r="V112" s="67">
        <f>IF(AND(W112=W101,B112=B101),"A",1)</f>
        <v>1</v>
      </c>
      <c r="W112" s="44">
        <f>(A112-A101)</f>
        <v>-35</v>
      </c>
    </row>
    <row r="113" spans="1:23" x14ac:dyDescent="0.2">
      <c r="A113" s="216">
        <f>-A102</f>
        <v>-35</v>
      </c>
      <c r="B113" s="216">
        <f>B102</f>
        <v>0</v>
      </c>
      <c r="E113" s="44" t="s">
        <v>609</v>
      </c>
      <c r="L113" s="44">
        <f t="shared" si="1"/>
        <v>-35</v>
      </c>
      <c r="M113" s="44">
        <f t="shared" si="2"/>
        <v>-25</v>
      </c>
      <c r="N113" s="44">
        <f t="shared" si="3"/>
        <v>875</v>
      </c>
      <c r="O113" s="44">
        <f t="shared" si="4"/>
        <v>-15312.5</v>
      </c>
      <c r="P113" s="44">
        <f>(B113-B112)*T112^3/12+(B113-B112)*T112*(T112/2-P100)^2+(B113-B112)*(T113-T112)^3/36+(B113-B112)*(T113-T112)/2*(T112+(T113-T112)/3-P100)^2</f>
        <v>357291.66666666669</v>
      </c>
      <c r="Q113" s="44">
        <f t="shared" si="5"/>
        <v>10937.5</v>
      </c>
      <c r="R113" s="44">
        <f>T112*(B113-B112)^3/12+T112*(B113-B112)*(B112+(B113-B112)/2-I134)^2+(T113-T112)*(B113-B112)^3/36+(T113-T112)/2*(B113-B112)*(B112+2/3*(B113-B112)-I134)^2</f>
        <v>4864374.8557248395</v>
      </c>
      <c r="S113" s="213">
        <f t="shared" si="6"/>
        <v>-191406.25</v>
      </c>
      <c r="T113" s="44">
        <f t="shared" si="0"/>
        <v>-35</v>
      </c>
      <c r="U113" s="67">
        <f t="shared" si="7"/>
        <v>1</v>
      </c>
      <c r="V113" s="67">
        <f>IF(AND(W113=W101,B113=B101),"A",1)</f>
        <v>1</v>
      </c>
      <c r="W113" s="44">
        <f>(A113-A101)</f>
        <v>-35</v>
      </c>
    </row>
    <row r="114" spans="1:23" hidden="1" x14ac:dyDescent="0.2">
      <c r="A114" s="216">
        <f>A101</f>
        <v>0</v>
      </c>
      <c r="B114" s="216">
        <f>B101</f>
        <v>0</v>
      </c>
      <c r="L114" s="44">
        <f t="shared" si="1"/>
        <v>-17.5</v>
      </c>
      <c r="M114" s="44">
        <f t="shared" si="2"/>
        <v>0</v>
      </c>
      <c r="N114" s="44">
        <f t="shared" si="3"/>
        <v>0</v>
      </c>
      <c r="O114" s="44">
        <f t="shared" si="4"/>
        <v>0</v>
      </c>
      <c r="P114" s="44">
        <f>(B114-B113)*T113^3/12+(B114-B113)*T113*(T113/2-P100)^2+(B114-B113)*(T114-T113)^3/36+(B114-B113)*(T114-T113)/2*(T113+(T114-T113)/3-P100)^2</f>
        <v>0</v>
      </c>
      <c r="Q114" s="44">
        <f t="shared" si="5"/>
        <v>0</v>
      </c>
      <c r="R114" s="44">
        <f>T113*(B114-B113)^3/12+T113*(B114-B113)*(B113+(B114-B113)/2-I134)^2+(T114-T113)*(B114-B113)^3/36+(T114-T113)/2*(B114-B113)*(B113+2/3*(B114-B113)-I134)^2</f>
        <v>0</v>
      </c>
      <c r="S114" s="213">
        <f t="shared" si="6"/>
        <v>0</v>
      </c>
      <c r="T114" s="44">
        <f t="shared" si="0"/>
        <v>0</v>
      </c>
      <c r="U114" s="67">
        <f t="shared" si="7"/>
        <v>0</v>
      </c>
      <c r="V114" s="67" t="str">
        <f>IF(AND(W114=W101,B114=B101),"A",1)</f>
        <v>A</v>
      </c>
      <c r="W114" s="44">
        <f>(A114-A101)</f>
        <v>0</v>
      </c>
    </row>
    <row r="115" spans="1:23" hidden="1" x14ac:dyDescent="0.2">
      <c r="A115" s="211"/>
      <c r="B115" s="216"/>
      <c r="L115" s="44">
        <f t="shared" si="1"/>
        <v>0</v>
      </c>
      <c r="M115" s="44">
        <f t="shared" si="2"/>
        <v>0</v>
      </c>
      <c r="N115" s="44">
        <f t="shared" si="3"/>
        <v>0</v>
      </c>
      <c r="O115" s="44">
        <f t="shared" si="4"/>
        <v>0</v>
      </c>
      <c r="P115" s="44">
        <f>(B115-B114)*T114^3/12+(B115-B114)*T114*(T114/2-P100)^2+(B115-B114)*(T115-T114)^3/36+(B115-B114)*(T115-T114)/2*(T114+(T115-T114)/3-P100)^2</f>
        <v>0</v>
      </c>
      <c r="Q115" s="44">
        <f t="shared" si="5"/>
        <v>0</v>
      </c>
      <c r="R115" s="44">
        <f>T114*(B115-B114)^3/12+T114*(B115-B114)*(B114+(B115-B114)/2-I134)^2+(T115-T114)*(B115-B114)^3/36+(T115-T114)/2*(B115-B114)*(B114+2/3*(B115-B114)-I134)^2</f>
        <v>0</v>
      </c>
      <c r="S115" s="213">
        <f t="shared" si="6"/>
        <v>0</v>
      </c>
      <c r="T115" s="44">
        <f t="shared" si="0"/>
        <v>0</v>
      </c>
      <c r="U115" s="67">
        <f t="shared" si="7"/>
        <v>0</v>
      </c>
      <c r="V115" s="67" t="str">
        <f>IF(AND(W115=W101,B115=B101),"A",1)</f>
        <v>A</v>
      </c>
      <c r="W115" s="44">
        <f>(A115-A101)</f>
        <v>0</v>
      </c>
    </row>
    <row r="116" spans="1:23" hidden="1" x14ac:dyDescent="0.2">
      <c r="A116" s="211"/>
      <c r="B116" s="216"/>
      <c r="L116" s="44">
        <f t="shared" si="1"/>
        <v>0</v>
      </c>
      <c r="M116" s="44">
        <f t="shared" si="2"/>
        <v>0</v>
      </c>
      <c r="N116" s="44">
        <f t="shared" si="3"/>
        <v>0</v>
      </c>
      <c r="O116" s="44">
        <f t="shared" si="4"/>
        <v>0</v>
      </c>
      <c r="P116" s="44">
        <f>(B116-B115)*T115^3/12+(B116-B115)*T115*(T115/2-P100)^2+(B116-B115)*(T116-T115)^3/36+(B116-B115)*(T116-T115)/2*(T115+(T116-T115)/3-P100)^2</f>
        <v>0</v>
      </c>
      <c r="Q116" s="44">
        <f t="shared" si="5"/>
        <v>0</v>
      </c>
      <c r="R116" s="44">
        <f>T115*(B116-B115)^3/12+T115*(B116-B115)*(B115+(B116-B115)/2-I134)^2+(T116-T115)*(B116-B115)^3/36+(T116-T115)/2*(B116-B115)*(B115+2/3*(B116-B115)-I134)^2</f>
        <v>0</v>
      </c>
      <c r="S116" s="213">
        <f t="shared" si="6"/>
        <v>0</v>
      </c>
      <c r="T116" s="44">
        <f t="shared" si="0"/>
        <v>0</v>
      </c>
      <c r="U116" s="67">
        <f t="shared" si="7"/>
        <v>0</v>
      </c>
      <c r="V116" s="67" t="str">
        <f>IF(AND(W116=W101,B116=B101),"A",1)</f>
        <v>A</v>
      </c>
      <c r="W116" s="44">
        <f>(A116-A101)</f>
        <v>0</v>
      </c>
    </row>
    <row r="117" spans="1:23" hidden="1" x14ac:dyDescent="0.2">
      <c r="A117" s="216"/>
      <c r="B117" s="216"/>
      <c r="L117" s="44">
        <f t="shared" si="1"/>
        <v>0</v>
      </c>
      <c r="M117" s="44">
        <f t="shared" si="2"/>
        <v>0</v>
      </c>
      <c r="N117" s="44">
        <f t="shared" si="3"/>
        <v>0</v>
      </c>
      <c r="O117" s="44">
        <f t="shared" si="4"/>
        <v>0</v>
      </c>
      <c r="P117" s="44">
        <f>(B117-B116)*T116^3/12+(B117-B116)*T116*(T116/2-P100)^2+(B117-B116)*(T117-T116)^3/36+(B117-B116)*(T117-T116)/2*(T116+(T117-T116)/3-P100)^2</f>
        <v>0</v>
      </c>
      <c r="Q117" s="44">
        <f t="shared" si="5"/>
        <v>0</v>
      </c>
      <c r="R117" s="44">
        <f>T116*(B117-B116)^3/12+T116*(B117-B116)*(B116+(B117-B116)/2-I134)^2+(T117-T116)*(B117-B116)^3/36+(T117-T116)/2*(B117-B116)*(B116+2/3*(B117-B116)-I134)^2</f>
        <v>0</v>
      </c>
      <c r="S117" s="213">
        <f t="shared" si="6"/>
        <v>0</v>
      </c>
      <c r="T117" s="44">
        <f t="shared" si="0"/>
        <v>0</v>
      </c>
      <c r="U117" s="67">
        <f t="shared" si="7"/>
        <v>0</v>
      </c>
      <c r="V117" s="67" t="str">
        <f>IF(AND(W117=W101,B117=B101),"A",1)</f>
        <v>A</v>
      </c>
      <c r="W117" s="44">
        <f>(A117-A101)</f>
        <v>0</v>
      </c>
    </row>
    <row r="118" spans="1:23" hidden="1" x14ac:dyDescent="0.2">
      <c r="A118" s="216"/>
      <c r="B118" s="216"/>
      <c r="L118" s="44">
        <f t="shared" si="1"/>
        <v>0</v>
      </c>
      <c r="M118" s="44">
        <f t="shared" si="2"/>
        <v>0</v>
      </c>
      <c r="N118" s="44">
        <f t="shared" si="3"/>
        <v>0</v>
      </c>
      <c r="O118" s="44">
        <f t="shared" si="4"/>
        <v>0</v>
      </c>
      <c r="P118" s="44">
        <f>(B118-B117)*T117^3/12+(B118-B117)*T117*(T117/2-P100)^2+(B118-B117)*(T118-T117)^3/36+(B118-B117)*(T118-T117)/2*(T117+(T118-T117)/3-P100)^2</f>
        <v>0</v>
      </c>
      <c r="Q118" s="44">
        <f t="shared" si="5"/>
        <v>0</v>
      </c>
      <c r="R118" s="44">
        <f>T117*(B118-B117)^3/12+T117*(B118-B117)*(B117+(B118-B117)/2-I134)^2+(T118-T117)*(B118-B117)^3/36+(T118-T117)/2*(B118-B117)*(B117+2/3*(B118-B117)-I134)^2</f>
        <v>0</v>
      </c>
      <c r="S118" s="213">
        <f t="shared" si="6"/>
        <v>0</v>
      </c>
      <c r="T118" s="44">
        <f t="shared" si="0"/>
        <v>0</v>
      </c>
      <c r="U118" s="67">
        <f t="shared" si="7"/>
        <v>0</v>
      </c>
      <c r="V118" s="67" t="str">
        <f>IF(AND(W118=W101,B118=B101),"A",1)</f>
        <v>A</v>
      </c>
      <c r="W118" s="44">
        <f>(A118-A101)</f>
        <v>0</v>
      </c>
    </row>
    <row r="119" spans="1:23" hidden="1" x14ac:dyDescent="0.2">
      <c r="A119" s="211"/>
      <c r="B119" s="216"/>
      <c r="L119" s="44">
        <f t="shared" si="1"/>
        <v>0</v>
      </c>
      <c r="M119" s="44">
        <f t="shared" si="2"/>
        <v>0</v>
      </c>
      <c r="N119" s="44">
        <f t="shared" si="3"/>
        <v>0</v>
      </c>
      <c r="O119" s="44">
        <f t="shared" si="4"/>
        <v>0</v>
      </c>
      <c r="P119" s="44">
        <f>(B119-B118)*T118^3/12+(B119-B118)*T118*(T118/2-P100)^2+(B119-B118)*(T119-T118)^3/36+(B119-B118)*(T119-T118)/2*(T118+(T119-T118)/3-P100)^2</f>
        <v>0</v>
      </c>
      <c r="Q119" s="44">
        <f t="shared" si="5"/>
        <v>0</v>
      </c>
      <c r="R119" s="44">
        <f>T118*(B119-B118)^3/12+T118*(B119-B118)*(B118+(B119-B118)/2-I134)^2+(T119-T118)*(B119-B118)^3/36+(T119-T118)/2*(B119-B118)*(B118+2/3*(B119-B118)-I134)^2</f>
        <v>0</v>
      </c>
      <c r="S119" s="213">
        <f t="shared" si="6"/>
        <v>0</v>
      </c>
      <c r="T119" s="44">
        <f t="shared" si="0"/>
        <v>0</v>
      </c>
      <c r="U119" s="67">
        <f t="shared" si="7"/>
        <v>0</v>
      </c>
      <c r="V119" s="67" t="str">
        <f>IF(AND(W119=W101,B119=B101),"A",1)</f>
        <v>A</v>
      </c>
      <c r="W119" s="44">
        <f>(A119-A101)</f>
        <v>0</v>
      </c>
    </row>
    <row r="120" spans="1:23" hidden="1" x14ac:dyDescent="0.2">
      <c r="A120" s="216"/>
      <c r="B120" s="216"/>
      <c r="L120" s="44">
        <f t="shared" si="1"/>
        <v>0</v>
      </c>
      <c r="M120" s="44">
        <f t="shared" si="2"/>
        <v>0</v>
      </c>
      <c r="N120" s="44">
        <f t="shared" si="3"/>
        <v>0</v>
      </c>
      <c r="O120" s="44">
        <f t="shared" si="4"/>
        <v>0</v>
      </c>
      <c r="P120" s="44">
        <f>(B120-B119)*T119^3/12+(B120-B119)*T119*(T119/2-P100)^2+(B120-B119)*(T120-T119)^3/36+(B120-B119)*(T120-T119)/2*(T119+(T120-T119)/3-P100)^2</f>
        <v>0</v>
      </c>
      <c r="Q120" s="44">
        <f t="shared" si="5"/>
        <v>0</v>
      </c>
      <c r="R120" s="44">
        <f>T119*(B120-B119)^3/12+T119*(B120-B119)*(B119+(B120-B119)/2-I134)^2+(T120-T119)*(B120-B119)^3/36+(T120-T119)/2*(B120-B119)*(B119+2/3*(B120-B119)-I134)^2</f>
        <v>0</v>
      </c>
      <c r="S120" s="213">
        <f t="shared" si="6"/>
        <v>0</v>
      </c>
      <c r="T120" s="44">
        <f t="shared" si="0"/>
        <v>0</v>
      </c>
      <c r="U120" s="67">
        <f t="shared" si="7"/>
        <v>0</v>
      </c>
      <c r="V120" s="67" t="str">
        <f>IF(AND(W120=W101,B120=B101),"A",1)</f>
        <v>A</v>
      </c>
      <c r="W120" s="44">
        <f>(A120-A101)</f>
        <v>0</v>
      </c>
    </row>
    <row r="121" spans="1:23" hidden="1" x14ac:dyDescent="0.2">
      <c r="A121" s="211"/>
      <c r="B121" s="216"/>
      <c r="L121" s="44">
        <f t="shared" si="1"/>
        <v>0</v>
      </c>
      <c r="M121" s="44">
        <f t="shared" si="2"/>
        <v>0</v>
      </c>
      <c r="N121" s="44">
        <f t="shared" si="3"/>
        <v>0</v>
      </c>
      <c r="O121" s="44">
        <f t="shared" si="4"/>
        <v>0</v>
      </c>
      <c r="P121" s="44">
        <f>(B121-B120)*T120^3/12+(B121-B120)*T120*(T120/2-P100)^2+(B121-B120)*(T121-T120)^3/36+(B121-B120)*(T121-T120)/2*(T120+(T121-T120)/3-P100)^2</f>
        <v>0</v>
      </c>
      <c r="Q121" s="44">
        <f t="shared" si="5"/>
        <v>0</v>
      </c>
      <c r="R121" s="44">
        <f>T120*(B121-B120)^3/12+T120*(B121-B120)*(B120+(B121-B120)/2-I134)^2+(T121-T120)*(B121-B120)^3/36+(T121-T120)/2*(B121-B120)*(B120+2/3*(B121-B120)-I134)^2</f>
        <v>0</v>
      </c>
      <c r="S121" s="213">
        <f t="shared" si="6"/>
        <v>0</v>
      </c>
      <c r="T121" s="44">
        <f t="shared" si="0"/>
        <v>0</v>
      </c>
      <c r="U121" s="67">
        <f t="shared" si="7"/>
        <v>0</v>
      </c>
      <c r="V121" s="67" t="str">
        <f>IF(AND(W121=W101,B121=B101),"A",1)</f>
        <v>A</v>
      </c>
      <c r="W121" s="44">
        <f>(A121-A101)</f>
        <v>0</v>
      </c>
    </row>
    <row r="122" spans="1:23" hidden="1" x14ac:dyDescent="0.2">
      <c r="A122" s="211"/>
      <c r="B122" s="216"/>
      <c r="L122" s="44">
        <f t="shared" si="1"/>
        <v>0</v>
      </c>
      <c r="M122" s="44">
        <f t="shared" si="2"/>
        <v>0</v>
      </c>
      <c r="N122" s="44">
        <f t="shared" si="3"/>
        <v>0</v>
      </c>
      <c r="O122" s="44">
        <f t="shared" si="4"/>
        <v>0</v>
      </c>
      <c r="P122" s="44">
        <f>(B122-B121)*T121^3/12+(B122-B121)*T121*(T121/2-P100)^2+(B122-B121)*(T122-T121)^3/36+(B122-B121)*(T122-T121)/2*(T121+(T122-T121)/3-P100)^2</f>
        <v>0</v>
      </c>
      <c r="Q122" s="44">
        <f t="shared" si="5"/>
        <v>0</v>
      </c>
      <c r="R122" s="44">
        <f>T121*(B122-B121)^3/12+T121*(B122-B121)*(B121+(B122-B121)/2-I134)^2+(T122-T121)*(B122-B121)^3/36+(T122-T121)/2*(B122-B121)*(B121+2/3*(B122-B121)-I134)^2</f>
        <v>0</v>
      </c>
      <c r="S122" s="213">
        <f t="shared" si="6"/>
        <v>0</v>
      </c>
      <c r="T122" s="44">
        <f t="shared" si="0"/>
        <v>0</v>
      </c>
      <c r="U122" s="67">
        <f t="shared" si="7"/>
        <v>0</v>
      </c>
      <c r="V122" s="67" t="str">
        <f>IF(AND(W122=W101,B122=B101),"A",1)</f>
        <v>A</v>
      </c>
      <c r="W122" s="44">
        <f>(A122-A101)</f>
        <v>0</v>
      </c>
    </row>
    <row r="123" spans="1:23" hidden="1" x14ac:dyDescent="0.2">
      <c r="A123" s="211"/>
      <c r="B123" s="216"/>
      <c r="L123" s="44">
        <f t="shared" si="1"/>
        <v>0</v>
      </c>
      <c r="M123" s="44">
        <f t="shared" si="2"/>
        <v>0</v>
      </c>
      <c r="N123" s="44">
        <f t="shared" si="3"/>
        <v>0</v>
      </c>
      <c r="O123" s="44">
        <f t="shared" si="4"/>
        <v>0</v>
      </c>
      <c r="P123" s="44">
        <f>(B123-B122)*T122^3/12+(B123-B122)*T122*(T122/2-P100)^2+(B123-B122)*(T123-T122)^3/36+(B123-B122)*(T123-T122)/2*(T122+(T123-T122)/3-P100)^2</f>
        <v>0</v>
      </c>
      <c r="Q123" s="44">
        <f t="shared" si="5"/>
        <v>0</v>
      </c>
      <c r="R123" s="44">
        <f>T122*(B123-B122)^3/12+T122*(B123-B122)*(B122+(B123-B122)/2-I134)^2+(T123-T122)*(B123-B122)^3/36+(T123-T122)/2*(B123-B122)*(B122+2/3*(B123-B122)-I134)^2</f>
        <v>0</v>
      </c>
      <c r="S123" s="213">
        <f t="shared" si="6"/>
        <v>0</v>
      </c>
      <c r="T123" s="44">
        <f t="shared" si="0"/>
        <v>0</v>
      </c>
      <c r="U123" s="67">
        <f t="shared" si="7"/>
        <v>0</v>
      </c>
      <c r="V123" s="67" t="str">
        <f>IF(AND(W123=W101,B123=B101),"A",1)</f>
        <v>A</v>
      </c>
      <c r="W123" s="44">
        <f>(A123-A101)</f>
        <v>0</v>
      </c>
    </row>
    <row r="124" spans="1:23" hidden="1" x14ac:dyDescent="0.2">
      <c r="A124" s="216"/>
      <c r="B124" s="216"/>
      <c r="L124" s="44">
        <f t="shared" si="1"/>
        <v>0</v>
      </c>
      <c r="M124" s="44">
        <f t="shared" si="2"/>
        <v>0</v>
      </c>
      <c r="N124" s="44">
        <f t="shared" si="3"/>
        <v>0</v>
      </c>
      <c r="O124" s="44">
        <f t="shared" si="4"/>
        <v>0</v>
      </c>
      <c r="P124" s="44">
        <f>(B124-B123)*T123^3/12+(B124-B123)*T123*(T123/2-P100)^2+(B124-B123)*(T124-T123)^3/36+(B124-B123)*(T124-T123)/2*(T123+(T124-T123)/3-P100)^2</f>
        <v>0</v>
      </c>
      <c r="Q124" s="44">
        <f t="shared" si="5"/>
        <v>0</v>
      </c>
      <c r="R124" s="44">
        <f>T123*(B124-B123)^3/12+T123*(B124-B123)*(B123+(B124-B123)/2-I134)^2+(T124-T123)*(B124-B123)^3/36+(T124-T123)/2*(B124-B123)*(B123+2/3*(B124-B123)-I134)^2</f>
        <v>0</v>
      </c>
      <c r="S124" s="213">
        <f t="shared" si="6"/>
        <v>0</v>
      </c>
      <c r="T124" s="44">
        <f t="shared" si="0"/>
        <v>0</v>
      </c>
      <c r="U124" s="67">
        <f t="shared" si="7"/>
        <v>0</v>
      </c>
      <c r="V124" s="67" t="str">
        <f>IF(AND(W124=W101,B124=B101),"A",1)</f>
        <v>A</v>
      </c>
      <c r="W124" s="44">
        <f>(A124-A101)</f>
        <v>0</v>
      </c>
    </row>
    <row r="125" spans="1:23" hidden="1" x14ac:dyDescent="0.2">
      <c r="A125" s="216"/>
      <c r="B125" s="216"/>
      <c r="L125" s="44">
        <f t="shared" si="1"/>
        <v>0</v>
      </c>
      <c r="M125" s="44">
        <f t="shared" si="2"/>
        <v>0</v>
      </c>
      <c r="N125" s="44">
        <f t="shared" si="3"/>
        <v>0</v>
      </c>
      <c r="O125" s="44">
        <f t="shared" si="4"/>
        <v>0</v>
      </c>
      <c r="P125" s="44">
        <f>(B125-B124)*T124^3/12+(B125-B124)*T124*(T124/2-P100)^2+(B125-B124)*(T125-T124)^3/36+(B125-B124)*(T125-T124)/2*(T124+(T125-T124)/3-P100)^2</f>
        <v>0</v>
      </c>
      <c r="Q125" s="44">
        <f t="shared" si="5"/>
        <v>0</v>
      </c>
      <c r="R125" s="44">
        <f>T124*(B125-B124)^3/12+T124*(B125-B124)*(B124+(B125-B124)/2-I134)^2+(T125-T124)*(B125-B124)^3/36+(T125-T124)/2*(B125-B124)*(B124+2/3*(B125-B124)-I134)^2</f>
        <v>0</v>
      </c>
      <c r="S125" s="213">
        <f t="shared" si="6"/>
        <v>0</v>
      </c>
      <c r="T125" s="44">
        <f t="shared" si="0"/>
        <v>0</v>
      </c>
      <c r="U125" s="67">
        <f t="shared" si="7"/>
        <v>0</v>
      </c>
      <c r="V125" s="67" t="str">
        <f>IF(AND(W125=W101,B125=B101),"A",1)</f>
        <v>A</v>
      </c>
      <c r="W125" s="44">
        <f>(A125-A101)</f>
        <v>0</v>
      </c>
    </row>
    <row r="126" spans="1:23" hidden="1" x14ac:dyDescent="0.2">
      <c r="A126" s="216"/>
      <c r="B126" s="216"/>
      <c r="L126" s="44">
        <f t="shared" si="1"/>
        <v>0</v>
      </c>
      <c r="M126" s="44">
        <f t="shared" si="2"/>
        <v>0</v>
      </c>
      <c r="N126" s="44">
        <f t="shared" si="3"/>
        <v>0</v>
      </c>
      <c r="O126" s="44">
        <f t="shared" si="4"/>
        <v>0</v>
      </c>
      <c r="P126" s="44">
        <f>(B126-B125)*T125^3/12+(B126-B125)*T125*(T125/2-P100)^2+(B126-B125)*(T126-T125)^3/36+(B126-B125)*(T126-T125)/2*(T125+(T126-T125)/3-P100)^2</f>
        <v>0</v>
      </c>
      <c r="Q126" s="44">
        <f t="shared" si="5"/>
        <v>0</v>
      </c>
      <c r="R126" s="44">
        <f>T125*(B126-B125)^3/12+T125*(B126-B125)*(B125+(B126-B125)/2-I134)^2+(T126-T125)*(B126-B125)^3/36+(T126-T125)/2*(B126-B125)*(B125+2/3*(B126-B125)-I134)^2</f>
        <v>0</v>
      </c>
      <c r="S126" s="213">
        <f t="shared" si="6"/>
        <v>0</v>
      </c>
      <c r="T126" s="44">
        <f t="shared" si="0"/>
        <v>0</v>
      </c>
      <c r="U126" s="67">
        <f t="shared" si="7"/>
        <v>0</v>
      </c>
      <c r="V126" s="67" t="str">
        <f>IF(AND(W126=W101,B126=B101),"A",1)</f>
        <v>A</v>
      </c>
      <c r="W126" s="44">
        <f>(A126-A101)</f>
        <v>0</v>
      </c>
    </row>
    <row r="127" spans="1:23" hidden="1" x14ac:dyDescent="0.2">
      <c r="A127" s="216"/>
      <c r="B127" s="216"/>
      <c r="L127" s="44">
        <f t="shared" si="1"/>
        <v>0</v>
      </c>
      <c r="M127" s="44">
        <f t="shared" si="2"/>
        <v>0</v>
      </c>
      <c r="N127" s="44">
        <f t="shared" si="3"/>
        <v>0</v>
      </c>
      <c r="O127" s="44">
        <f t="shared" si="4"/>
        <v>0</v>
      </c>
      <c r="P127" s="44">
        <f>(B127-B126)*T126^3/12+(B127-B126)*T126*(T126/2-P100)^2+(B127-B126)*(T127-T126)^3/36+(B127-B126)*(T127-T126)/2*(T126+(T127-T126)/3-P100)^2</f>
        <v>0</v>
      </c>
      <c r="Q127" s="44">
        <f t="shared" si="5"/>
        <v>0</v>
      </c>
      <c r="R127" s="44">
        <f>T126*(B127-B126)^3/12+T126*(B127-B126)*(B126+(B127-B126)/2-I134)^2+(T127-T126)*(B127-B126)^3/36+(T127-T126)/2*(B127-B126)*(B126+2/3*(B127-B126)-I134)^2</f>
        <v>0</v>
      </c>
      <c r="S127" s="213">
        <f t="shared" si="6"/>
        <v>0</v>
      </c>
      <c r="T127" s="44">
        <f t="shared" si="0"/>
        <v>0</v>
      </c>
      <c r="U127" s="67">
        <f t="shared" si="7"/>
        <v>0</v>
      </c>
      <c r="V127" s="67" t="str">
        <f>IF(AND(W127=W101,B127=B101),"A",1)</f>
        <v>A</v>
      </c>
      <c r="W127" s="44">
        <f>(A127-A101)</f>
        <v>0</v>
      </c>
    </row>
    <row r="128" spans="1:23" hidden="1" x14ac:dyDescent="0.2">
      <c r="A128" s="216"/>
      <c r="B128" s="216"/>
      <c r="L128" s="44">
        <f t="shared" si="1"/>
        <v>0</v>
      </c>
      <c r="M128" s="44">
        <f t="shared" si="2"/>
        <v>0</v>
      </c>
      <c r="N128" s="44">
        <f t="shared" si="3"/>
        <v>0</v>
      </c>
      <c r="O128" s="44">
        <f t="shared" si="4"/>
        <v>0</v>
      </c>
      <c r="P128" s="44">
        <f>(B128-B127)*T127^3/12+(B128-B127)*T127*(T127/2-P100)^2+(B128-B127)*(T128-T127)^3/36+(B128-B127)*(T128-T127)/2*(T127+(T128-T127)/3-P100)^2</f>
        <v>0</v>
      </c>
      <c r="Q128" s="44">
        <f t="shared" si="5"/>
        <v>0</v>
      </c>
      <c r="R128" s="44">
        <f>T127*(B128-B127)^3/12+T127*(B128-B127)*(B127+(B128-B127)/2-I134)^2+(T128-T127)*(B128-B127)^3/36+(T128-T127)/2*(B128-B127)*(B127+2/3*(B128-B127)-I134)^2</f>
        <v>0</v>
      </c>
      <c r="S128" s="213">
        <f t="shared" si="6"/>
        <v>0</v>
      </c>
      <c r="T128" s="44">
        <f t="shared" si="0"/>
        <v>0</v>
      </c>
      <c r="U128" s="67">
        <f t="shared" si="7"/>
        <v>0</v>
      </c>
      <c r="V128" s="67" t="str">
        <f>IF(AND(W128=W101,B128=B101),"A",1)</f>
        <v>A</v>
      </c>
      <c r="W128" s="44">
        <f>(A128-A101)</f>
        <v>0</v>
      </c>
    </row>
    <row r="129" spans="1:28" hidden="1" x14ac:dyDescent="0.2">
      <c r="A129" s="216"/>
      <c r="B129" s="216"/>
      <c r="L129" s="44">
        <f t="shared" si="1"/>
        <v>0</v>
      </c>
      <c r="M129" s="44">
        <f t="shared" si="2"/>
        <v>0</v>
      </c>
      <c r="N129" s="44">
        <f t="shared" si="3"/>
        <v>0</v>
      </c>
      <c r="O129" s="44">
        <f t="shared" si="4"/>
        <v>0</v>
      </c>
      <c r="P129" s="44">
        <f>(B129-B128)*T128^3/12+(B129-B128)*T128*(T128/2-P100)^2+(B129-B128)*(T129-T128)^3/36+(B129-B128)*(T129-T128)/2*(T128+(T129-T128)/3-P100)^2</f>
        <v>0</v>
      </c>
      <c r="Q129" s="44">
        <f t="shared" si="5"/>
        <v>0</v>
      </c>
      <c r="R129" s="44">
        <f>T128*(B129-B128)^3/12+T128*(B129-B128)*(B128+(B129-B128)/2-I134)^2+(T129-T128)*(B129-B128)^3/36+(T129-T128)/2*(B129-B128)*(B128+2/3*(B129-B128)-I134)^2</f>
        <v>0</v>
      </c>
      <c r="S129" s="213">
        <f t="shared" si="6"/>
        <v>0</v>
      </c>
      <c r="T129" s="44">
        <f t="shared" si="0"/>
        <v>0</v>
      </c>
      <c r="U129" s="67">
        <f t="shared" si="7"/>
        <v>0</v>
      </c>
      <c r="V129" s="67" t="str">
        <f>IF(AND(W129=W101,B129=B101),"A",1)</f>
        <v>A</v>
      </c>
      <c r="W129" s="44">
        <f>(A129-A101)</f>
        <v>0</v>
      </c>
    </row>
    <row r="130" spans="1:28" hidden="1" x14ac:dyDescent="0.2">
      <c r="A130" s="216"/>
      <c r="B130" s="216"/>
      <c r="L130" s="44">
        <f t="shared" si="1"/>
        <v>0</v>
      </c>
      <c r="M130" s="44">
        <f t="shared" si="2"/>
        <v>0</v>
      </c>
      <c r="N130" s="44">
        <f t="shared" si="3"/>
        <v>0</v>
      </c>
      <c r="O130" s="44">
        <f t="shared" si="4"/>
        <v>0</v>
      </c>
      <c r="P130" s="44">
        <f>(B130-B129)*T129^3/12+(B130-B129)*T129*(T129/2-P100)^2+(B130-B129)*(T130-T129)^3/36+(B130-B129)*(T130-T129)/2*(T129+(T130-T129)/3-P100)^2</f>
        <v>0</v>
      </c>
      <c r="Q130" s="44">
        <f t="shared" si="5"/>
        <v>0</v>
      </c>
      <c r="R130" s="44">
        <f>T129*(B130-B129)^3/12+T129*(B130-B129)*(B129+(B130-B129)/2-I134)^2+(T130-T129)*(B130-B129)^3/36+(T130-T129)/2*(B130-B129)*(B129+2/3*(B130-B129)-I134)^2</f>
        <v>0</v>
      </c>
      <c r="S130" s="213">
        <f t="shared" si="6"/>
        <v>0</v>
      </c>
      <c r="T130" s="44">
        <f t="shared" si="0"/>
        <v>0</v>
      </c>
      <c r="U130" s="67">
        <f t="shared" si="7"/>
        <v>0</v>
      </c>
      <c r="V130" s="67" t="str">
        <f>IF(AND(W130=W101,B130=B101),"A",1)</f>
        <v>A</v>
      </c>
      <c r="W130" s="44">
        <f>(A130-A101)</f>
        <v>0</v>
      </c>
    </row>
    <row r="131" spans="1:28" hidden="1" x14ac:dyDescent="0.2">
      <c r="N131" s="214">
        <f t="shared" ref="N131:S131" si="8">SUM(N102:N130)</f>
        <v>7600</v>
      </c>
      <c r="O131" s="44">
        <f t="shared" si="8"/>
        <v>0</v>
      </c>
      <c r="P131" s="217">
        <f t="shared" si="8"/>
        <v>1753333.3333333335</v>
      </c>
      <c r="Q131" s="44">
        <f t="shared" si="8"/>
        <v>659000</v>
      </c>
      <c r="R131" s="44">
        <f t="shared" si="8"/>
        <v>27208596.491228066</v>
      </c>
      <c r="S131" s="213">
        <f t="shared" si="8"/>
        <v>-5000</v>
      </c>
    </row>
    <row r="132" spans="1:28" ht="12.55" x14ac:dyDescent="0.2">
      <c r="C132" s="207"/>
      <c r="D132" s="207" t="s">
        <v>363</v>
      </c>
      <c r="H132" s="44" t="s">
        <v>24</v>
      </c>
      <c r="I132" s="44">
        <f>ABS(N131)</f>
        <v>7600</v>
      </c>
      <c r="J132" s="44" t="s">
        <v>909</v>
      </c>
      <c r="K132" s="44" t="s">
        <v>634</v>
      </c>
      <c r="Q132" s="67"/>
      <c r="S132" s="213"/>
    </row>
    <row r="133" spans="1:28" x14ac:dyDescent="0.2">
      <c r="C133" s="207"/>
      <c r="D133" s="207" t="s">
        <v>364</v>
      </c>
      <c r="H133" s="44" t="s">
        <v>24</v>
      </c>
      <c r="I133" s="157">
        <f>A101+O131/N131</f>
        <v>0</v>
      </c>
      <c r="J133" s="44" t="s">
        <v>21</v>
      </c>
      <c r="Q133" s="67"/>
      <c r="S133" s="213"/>
    </row>
    <row r="134" spans="1:28" x14ac:dyDescent="0.2">
      <c r="C134" s="207"/>
      <c r="D134" s="207" t="s">
        <v>365</v>
      </c>
      <c r="H134" s="44" t="s">
        <v>24</v>
      </c>
      <c r="I134" s="157">
        <f>Q131/N131</f>
        <v>86.71052631578948</v>
      </c>
      <c r="J134" s="44" t="s">
        <v>21</v>
      </c>
      <c r="S134" s="213"/>
    </row>
    <row r="135" spans="1:28" ht="12.55" x14ac:dyDescent="0.2">
      <c r="D135" s="207" t="s">
        <v>366</v>
      </c>
      <c r="H135" s="44" t="s">
        <v>24</v>
      </c>
      <c r="I135" s="220">
        <f>ABS(R131)</f>
        <v>27208596.491228066</v>
      </c>
      <c r="J135" s="44" t="s">
        <v>910</v>
      </c>
      <c r="S135" s="218"/>
    </row>
    <row r="136" spans="1:28" ht="12.55" x14ac:dyDescent="0.2">
      <c r="D136" s="207" t="s">
        <v>367</v>
      </c>
      <c r="H136" s="44" t="s">
        <v>24</v>
      </c>
      <c r="I136" s="220">
        <f>ABS(P131)</f>
        <v>1753333.3333333335</v>
      </c>
      <c r="J136" s="44" t="s">
        <v>910</v>
      </c>
      <c r="R136" s="131"/>
    </row>
    <row r="137" spans="1:28" x14ac:dyDescent="0.2">
      <c r="D137" s="231" t="s">
        <v>123</v>
      </c>
      <c r="I137" s="220"/>
    </row>
    <row r="138" spans="1:28" ht="11.9" x14ac:dyDescent="0.25">
      <c r="D138" s="231" t="s">
        <v>923</v>
      </c>
      <c r="H138" s="44" t="s">
        <v>24</v>
      </c>
      <c r="I138" s="157">
        <f>I134</f>
        <v>86.71052631578948</v>
      </c>
      <c r="J138" s="44" t="s">
        <v>21</v>
      </c>
    </row>
    <row r="139" spans="1:28" ht="11.9" x14ac:dyDescent="0.25">
      <c r="D139" s="231" t="s">
        <v>924</v>
      </c>
      <c r="H139" s="44" t="s">
        <v>24</v>
      </c>
      <c r="I139" s="157">
        <f>B108-I134</f>
        <v>93.28947368421052</v>
      </c>
      <c r="J139" s="44" t="s">
        <v>21</v>
      </c>
    </row>
    <row r="140" spans="1:28" ht="12.55" x14ac:dyDescent="0.2">
      <c r="D140" s="207" t="s">
        <v>273</v>
      </c>
      <c r="H140" s="44" t="s">
        <v>24</v>
      </c>
      <c r="I140" s="220">
        <f>I135/(I134)</f>
        <v>313786.545270612</v>
      </c>
      <c r="J140" s="44" t="s">
        <v>913</v>
      </c>
    </row>
    <row r="141" spans="1:28" ht="12.7" customHeight="1" x14ac:dyDescent="0.2">
      <c r="D141" s="207" t="s">
        <v>270</v>
      </c>
      <c r="H141" s="44" t="s">
        <v>24</v>
      </c>
      <c r="I141" s="220">
        <f>I135/(B107-I134)</f>
        <v>291657.73389750818</v>
      </c>
      <c r="J141" s="44" t="s">
        <v>913</v>
      </c>
    </row>
    <row r="142" spans="1:28" ht="11.3" thickBot="1" x14ac:dyDescent="0.25"/>
    <row r="143" spans="1:28" ht="11.3" thickBot="1" x14ac:dyDescent="0.25">
      <c r="A143" s="209" t="s">
        <v>0</v>
      </c>
      <c r="B143" s="210" t="s">
        <v>1</v>
      </c>
      <c r="P143" s="157">
        <f>I176-A144</f>
        <v>0</v>
      </c>
    </row>
    <row r="144" spans="1:28" ht="12.55" x14ac:dyDescent="0.2">
      <c r="A144" s="216">
        <f t="shared" ref="A144:B146" si="9">A101</f>
        <v>0</v>
      </c>
      <c r="B144" s="216">
        <f t="shared" si="9"/>
        <v>0</v>
      </c>
      <c r="L144" s="131"/>
      <c r="M144" s="131"/>
      <c r="N144" s="131" t="s">
        <v>2</v>
      </c>
      <c r="O144" s="131" t="s">
        <v>3</v>
      </c>
      <c r="P144" s="131" t="s">
        <v>907</v>
      </c>
      <c r="Q144" s="131" t="s">
        <v>4</v>
      </c>
      <c r="R144" s="131" t="s">
        <v>908</v>
      </c>
      <c r="S144" s="131" t="s">
        <v>5</v>
      </c>
      <c r="T144" s="44">
        <f t="shared" ref="T144:T173" si="10">U144*W144</f>
        <v>0</v>
      </c>
      <c r="U144" s="67">
        <v>1</v>
      </c>
      <c r="V144" s="67"/>
      <c r="W144" s="44">
        <f>(A144-A144)</f>
        <v>0</v>
      </c>
      <c r="AB144" s="44" t="s">
        <v>22</v>
      </c>
    </row>
    <row r="145" spans="1:23" x14ac:dyDescent="0.2">
      <c r="A145" s="216">
        <f t="shared" si="9"/>
        <v>35</v>
      </c>
      <c r="B145" s="216">
        <f t="shared" si="9"/>
        <v>0</v>
      </c>
      <c r="L145" s="44">
        <f t="shared" ref="L145:L173" si="11">T144+(T145-T144)/2</f>
        <v>17.5</v>
      </c>
      <c r="M145" s="44">
        <f t="shared" ref="M145:M173" si="12">B145-B144</f>
        <v>0</v>
      </c>
      <c r="N145" s="44">
        <f t="shared" ref="N145:N173" si="13">L145*M145</f>
        <v>0</v>
      </c>
      <c r="O145" s="44">
        <f t="shared" ref="O145:O173" si="14">T144^2/2*M145+(T145-T144)/2*M145*(T144+(T145-T144)/3)</f>
        <v>0</v>
      </c>
      <c r="P145" s="44">
        <f>(B145-B144)*T144^3/12+(B145-B144)*T144*(T144/2-P143)^2+(B145-B144)*(T145-T144)^3/36+(B145-B144)*(T145-T144)/2*(T144+(T145-T144)/3-P143)^2</f>
        <v>0</v>
      </c>
      <c r="Q145" s="44">
        <f t="shared" ref="Q145:Q173" si="15">T144*(B145-B144)*(B144+(B145-B144)/2)+(T145-T144)/2*(B145-B144)*(B144+2/3*(B145-B144))</f>
        <v>0</v>
      </c>
      <c r="R145" s="44">
        <f>T144*(B145-B144)^3/12+T144*(B145-B144)*(B144+(B145-B144)/2-I177)^2+(T145-T144)*(B145-B144)^3/36+(T145-T144)/2*(B145-B144)*(B144+2/3*(B145-B144)-I177)^2</f>
        <v>0</v>
      </c>
      <c r="S145" s="213">
        <f t="shared" ref="S145:S173" si="16">T144^2/2*M145*(B144+(B145-B144)/2)+(T145-T144)/2*M145*(T144+(T145-T144)/3)*(B144+2/3*(B145-B144))</f>
        <v>0</v>
      </c>
      <c r="T145" s="44">
        <f t="shared" si="10"/>
        <v>35</v>
      </c>
      <c r="U145" s="67">
        <v>1</v>
      </c>
      <c r="V145" s="67">
        <f>IF(AND(W145=W144,B145=B144),A,1)</f>
        <v>1</v>
      </c>
      <c r="W145" s="44">
        <f>(A145-A144)</f>
        <v>35</v>
      </c>
    </row>
    <row r="146" spans="1:23" x14ac:dyDescent="0.2">
      <c r="A146" s="216">
        <f t="shared" si="9"/>
        <v>35</v>
      </c>
      <c r="B146" s="216">
        <f t="shared" si="9"/>
        <v>25</v>
      </c>
      <c r="L146" s="44">
        <f t="shared" si="11"/>
        <v>35</v>
      </c>
      <c r="M146" s="44">
        <f t="shared" si="12"/>
        <v>25</v>
      </c>
      <c r="N146" s="44">
        <f t="shared" si="13"/>
        <v>875</v>
      </c>
      <c r="O146" s="44">
        <f t="shared" si="14"/>
        <v>15312.5</v>
      </c>
      <c r="P146" s="44">
        <f>(B146-B145)*T145^3/12+(B146-B145)*T145*(T145/2-P143)^2+(B146-B145)*(T146-T145)^3/36+(B146-B145)*(T146-T145)/2*(T145+(T146-T145)/3-P143)^2</f>
        <v>357291.66666666669</v>
      </c>
      <c r="Q146" s="44">
        <f t="shared" si="15"/>
        <v>10937.5</v>
      </c>
      <c r="R146" s="44">
        <f>T145*(B146-B145)^3/12+T145*(B146-B145)*(B145+(B146-B145)/2-I177)^2+(T146-T145)*(B146-B145)^3/36+(T146-T145)/2*(B146-B145)*(B145+2/3*(B146-B145)-I177)^2</f>
        <v>5301041.666666667</v>
      </c>
      <c r="S146" s="213">
        <f t="shared" si="16"/>
        <v>191406.25</v>
      </c>
      <c r="T146" s="44">
        <f t="shared" si="10"/>
        <v>35</v>
      </c>
      <c r="U146" s="67">
        <v>1</v>
      </c>
      <c r="V146" s="67">
        <f>IF(AND(W146=W144,B146=B144),A,1)</f>
        <v>1</v>
      </c>
      <c r="W146" s="44">
        <f>(A146-A144)</f>
        <v>35</v>
      </c>
    </row>
    <row r="147" spans="1:23" x14ac:dyDescent="0.2">
      <c r="A147" s="216">
        <f>A146</f>
        <v>35</v>
      </c>
      <c r="B147" s="216">
        <f t="shared" ref="B147:B156" si="17">B104</f>
        <v>40</v>
      </c>
      <c r="L147" s="44">
        <f t="shared" si="11"/>
        <v>35</v>
      </c>
      <c r="M147" s="44">
        <f t="shared" si="12"/>
        <v>15</v>
      </c>
      <c r="N147" s="44">
        <f t="shared" si="13"/>
        <v>525</v>
      </c>
      <c r="O147" s="44">
        <f t="shared" si="14"/>
        <v>9187.5</v>
      </c>
      <c r="P147" s="44">
        <f>(B147-B146)*T146^3/12+(B147-B146)*T146*(T146/2-P143)^2+(B147-B146)*(T147-T146)^3/36+(B147-B146)*(T147-T146)/2*(T146+(T147-T146)/3-P143)^2</f>
        <v>214375</v>
      </c>
      <c r="Q147" s="44">
        <f t="shared" si="15"/>
        <v>17062.5</v>
      </c>
      <c r="R147" s="44">
        <f>T146*(B147-B146)^3/12+T146*(B147-B146)*(B146+(B147-B146)/2-I177)^2+(T147-T146)*(B147-B146)^3/36+(T147-T146)/2*(B147-B146)*(B146+2/3*(B147-B146)-I177)^2</f>
        <v>1745625</v>
      </c>
      <c r="S147" s="213">
        <f t="shared" si="16"/>
        <v>298593.75</v>
      </c>
      <c r="T147" s="44">
        <f t="shared" si="10"/>
        <v>35</v>
      </c>
      <c r="U147" s="67">
        <f t="shared" ref="U147:U173" si="18">IF(OR(U146=0,V147="A"),0,1)</f>
        <v>1</v>
      </c>
      <c r="V147" s="67">
        <f>IF(AND(W147=W144,B147=B144),A,1)</f>
        <v>1</v>
      </c>
      <c r="W147" s="44">
        <f>(A147-A144)</f>
        <v>35</v>
      </c>
    </row>
    <row r="148" spans="1:23" x14ac:dyDescent="0.2">
      <c r="A148" s="216">
        <f>A147</f>
        <v>35</v>
      </c>
      <c r="B148" s="216">
        <f t="shared" si="17"/>
        <v>150</v>
      </c>
      <c r="L148" s="44">
        <f t="shared" si="11"/>
        <v>35</v>
      </c>
      <c r="M148" s="44">
        <f t="shared" si="12"/>
        <v>110</v>
      </c>
      <c r="N148" s="44">
        <f t="shared" si="13"/>
        <v>3850</v>
      </c>
      <c r="O148" s="44">
        <f t="shared" si="14"/>
        <v>67375</v>
      </c>
      <c r="P148" s="44">
        <f>(B148-B147)*T147^3/12+(B148-B147)*T147*(T147/2-P143)^2+(B148-B147)*(T148-T147)^3/36+(B148-B147)*(T148-T147)/2*(T147+(T148-T147)/3-P143)^2</f>
        <v>1572083.3333333333</v>
      </c>
      <c r="Q148" s="44">
        <f t="shared" si="15"/>
        <v>365750</v>
      </c>
      <c r="R148" s="44">
        <f>T147*(B148-B147)^3/12+T147*(B148-B147)*(B147+(B148-B147)/2-I177)^2+(T148-T147)*(B148-B147)^3/36+(T148-T147)/2*(B148-B147)*(B147+2/3*(B148-B147)-I177)^2</f>
        <v>3978333.3333333335</v>
      </c>
      <c r="S148" s="213">
        <f t="shared" si="16"/>
        <v>6400625</v>
      </c>
      <c r="T148" s="44">
        <f t="shared" si="10"/>
        <v>35</v>
      </c>
      <c r="U148" s="67">
        <f t="shared" si="18"/>
        <v>1</v>
      </c>
      <c r="V148" s="67">
        <f>IF(AND(W148=W144,B148=B144),"A",1)</f>
        <v>1</v>
      </c>
      <c r="W148" s="44">
        <f>(A148-A144)</f>
        <v>35</v>
      </c>
    </row>
    <row r="149" spans="1:23" x14ac:dyDescent="0.2">
      <c r="A149" s="216">
        <f>A106</f>
        <v>35</v>
      </c>
      <c r="B149" s="216">
        <f t="shared" si="17"/>
        <v>165</v>
      </c>
      <c r="L149" s="44">
        <f t="shared" si="11"/>
        <v>35</v>
      </c>
      <c r="M149" s="44">
        <f t="shared" si="12"/>
        <v>15</v>
      </c>
      <c r="N149" s="44">
        <f t="shared" si="13"/>
        <v>525</v>
      </c>
      <c r="O149" s="44">
        <f t="shared" si="14"/>
        <v>9187.5</v>
      </c>
      <c r="P149" s="44">
        <f>(B149-B148)*T148^3/12+(B149-B148)*T148*(T148/2-P143)^2+(B149-B148)*(T149-T148)^3/36+(B149-B148)*(T149-T148)/2*(T148+(T149-T148)/3-P143)^2</f>
        <v>214375</v>
      </c>
      <c r="Q149" s="44">
        <f t="shared" si="15"/>
        <v>82687.5</v>
      </c>
      <c r="R149" s="44">
        <f>T148*(B149-B148)^3/12+T148*(B149-B148)*(B148+(B149-B148)/2-I177)^2+(T149-T148)*(B149-B148)^3/36+(T149-T148)/2*(B149-B148)*(B148+2/3*(B149-B148)-I177)^2</f>
        <v>2401875</v>
      </c>
      <c r="S149" s="213">
        <f t="shared" si="16"/>
        <v>1447031.25</v>
      </c>
      <c r="T149" s="44">
        <f t="shared" si="10"/>
        <v>35</v>
      </c>
      <c r="U149" s="67">
        <f t="shared" si="18"/>
        <v>1</v>
      </c>
      <c r="V149" s="67">
        <f>IF(AND(W149=W144,B149=B144),"A",1)</f>
        <v>1</v>
      </c>
      <c r="W149" s="44">
        <f>(A149-A144)</f>
        <v>35</v>
      </c>
    </row>
    <row r="150" spans="1:23" x14ac:dyDescent="0.2">
      <c r="A150" s="216">
        <f>A107</f>
        <v>35</v>
      </c>
      <c r="B150" s="216">
        <f t="shared" si="17"/>
        <v>180</v>
      </c>
      <c r="L150" s="44">
        <f t="shared" si="11"/>
        <v>35</v>
      </c>
      <c r="M150" s="44">
        <f t="shared" si="12"/>
        <v>15</v>
      </c>
      <c r="N150" s="44">
        <f t="shared" si="13"/>
        <v>525</v>
      </c>
      <c r="O150" s="44">
        <f t="shared" si="14"/>
        <v>9187.5</v>
      </c>
      <c r="P150" s="44">
        <f>(B150-B149)*T149^3/12+(B150-B149)*T149*(T149/2-P143)^2+(B150-B149)*(T150-T149)^3/36+(B150-B149)*(T150-T149)/2*(T149+(T150-T149)/3-P143)^2</f>
        <v>214375</v>
      </c>
      <c r="Q150" s="44">
        <f t="shared" si="15"/>
        <v>90562.5</v>
      </c>
      <c r="R150" s="44">
        <f>T149*(B150-B149)^3/12+T149*(B150-B149)*(B149+(B150-B149)/2-I177)^2+(T150-T149)*(B150-B149)^3/36+(T150-T149)/2*(B150-B149)*(B149+2/3*(B150-B149)-I177)^2</f>
        <v>3583125</v>
      </c>
      <c r="S150" s="213">
        <f t="shared" si="16"/>
        <v>1584843.75</v>
      </c>
      <c r="T150" s="44">
        <f t="shared" si="10"/>
        <v>35</v>
      </c>
      <c r="U150" s="67">
        <f t="shared" si="18"/>
        <v>1</v>
      </c>
      <c r="V150" s="67">
        <f>IF(AND(W150=W144,B150=B144),"A",1)</f>
        <v>1</v>
      </c>
      <c r="W150" s="44">
        <f>(A150-A144)</f>
        <v>35</v>
      </c>
    </row>
    <row r="151" spans="1:23" x14ac:dyDescent="0.2">
      <c r="A151" s="216">
        <f>A108</f>
        <v>-35</v>
      </c>
      <c r="B151" s="216">
        <f t="shared" si="17"/>
        <v>180</v>
      </c>
      <c r="L151" s="44">
        <f t="shared" si="11"/>
        <v>0</v>
      </c>
      <c r="M151" s="44">
        <f t="shared" si="12"/>
        <v>0</v>
      </c>
      <c r="N151" s="44">
        <f t="shared" si="13"/>
        <v>0</v>
      </c>
      <c r="O151" s="44">
        <f t="shared" si="14"/>
        <v>0</v>
      </c>
      <c r="P151" s="44">
        <f>(B151-B150)*T150^3/12+(B151-B150)*T150*(T150/2-P143)^2+(B151-B150)*(T151-T150)^3/36+(B151-B150)*(T151-T150)/2*(T150+(T151-T150)/3-P143)^2</f>
        <v>0</v>
      </c>
      <c r="Q151" s="44">
        <f t="shared" si="15"/>
        <v>0</v>
      </c>
      <c r="R151" s="44">
        <f>T150*(B151-B150)^3/12+T150*(B151-B150)*(B150+(B151-B150)/2-I177)^2+(T151-T150)*(B151-B150)^3/36+(T151-T150)/2*(B151-B150)*(B150+2/3*(B151-B150)-I177)^2</f>
        <v>0</v>
      </c>
      <c r="S151" s="213">
        <f t="shared" si="16"/>
        <v>0</v>
      </c>
      <c r="T151" s="44">
        <f t="shared" si="10"/>
        <v>-35</v>
      </c>
      <c r="U151" s="67">
        <f t="shared" si="18"/>
        <v>1</v>
      </c>
      <c r="V151" s="67">
        <f>IF(AND(W151=W144,B151=B144),"A",1)</f>
        <v>1</v>
      </c>
      <c r="W151" s="214">
        <f>(A151-A144)</f>
        <v>-35</v>
      </c>
    </row>
    <row r="152" spans="1:23" x14ac:dyDescent="0.2">
      <c r="A152" s="216">
        <f>A109</f>
        <v>-35</v>
      </c>
      <c r="B152" s="216">
        <f t="shared" si="17"/>
        <v>165</v>
      </c>
      <c r="L152" s="44">
        <f t="shared" si="11"/>
        <v>-35</v>
      </c>
      <c r="M152" s="44">
        <f t="shared" si="12"/>
        <v>-15</v>
      </c>
      <c r="N152" s="44">
        <f t="shared" si="13"/>
        <v>525</v>
      </c>
      <c r="O152" s="44">
        <f t="shared" si="14"/>
        <v>-9187.5</v>
      </c>
      <c r="P152" s="44">
        <f>(B152-B151)*T151^3/12+(B152-B151)*T151*(T151/2-P143)^2+(B152-B151)*(T152-T151)^3/36+(B152-B151)*(T152-T151)/2*(T151+(T152-T151)/3-P143)^2</f>
        <v>214375</v>
      </c>
      <c r="Q152" s="44">
        <f t="shared" si="15"/>
        <v>90562.5</v>
      </c>
      <c r="R152" s="44">
        <f>T151*(B152-B151)^3/12+T151*(B152-B151)*(B151+(B152-B151)/2-I177)^2+(T152-T151)*(B152-B151)^3/36+(T152-T151)/2*(B152-B151)*(B151+2/3*(B152-B151)-I177)^2</f>
        <v>3583125</v>
      </c>
      <c r="S152" s="213">
        <f t="shared" si="16"/>
        <v>-1584843.75</v>
      </c>
      <c r="T152" s="44">
        <f t="shared" si="10"/>
        <v>-35</v>
      </c>
      <c r="U152" s="67">
        <f t="shared" si="18"/>
        <v>1</v>
      </c>
      <c r="V152" s="67">
        <f>IF(AND(W152=W144,B152=B144),"A",1)</f>
        <v>1</v>
      </c>
      <c r="W152" s="44">
        <f>(A152-A144)</f>
        <v>-35</v>
      </c>
    </row>
    <row r="153" spans="1:23" x14ac:dyDescent="0.2">
      <c r="A153" s="216">
        <f>-A145</f>
        <v>-35</v>
      </c>
      <c r="B153" s="216">
        <f t="shared" si="17"/>
        <v>150</v>
      </c>
      <c r="L153" s="44">
        <f t="shared" si="11"/>
        <v>-35</v>
      </c>
      <c r="M153" s="44">
        <f t="shared" si="12"/>
        <v>-15</v>
      </c>
      <c r="N153" s="44">
        <f t="shared" si="13"/>
        <v>525</v>
      </c>
      <c r="O153" s="44">
        <f t="shared" si="14"/>
        <v>-9187.5</v>
      </c>
      <c r="P153" s="44">
        <f>(B153-B152)*T152^3/12+(B153-B152)*T152*(T152/2-P143)^2+(B153-B152)*(T153-T152)^3/36+(B153-B152)*(T153-T152)/2*(T152+(T153-T152)/3-P143)^2</f>
        <v>214375</v>
      </c>
      <c r="Q153" s="44">
        <f t="shared" si="15"/>
        <v>82687.5</v>
      </c>
      <c r="R153" s="44">
        <f>T152*(B153-B152)^3/12+T152*(B153-B152)*(B152+(B153-B152)/2-I177)^2+(T153-T152)*(B153-B152)^3/36+(T153-T152)/2*(B153-B152)*(B152+2/3*(B153-B152)-I177)^2</f>
        <v>2401875</v>
      </c>
      <c r="S153" s="213">
        <f t="shared" si="16"/>
        <v>-1447031.25</v>
      </c>
      <c r="T153" s="44">
        <f t="shared" si="10"/>
        <v>-35</v>
      </c>
      <c r="U153" s="67">
        <f t="shared" si="18"/>
        <v>1</v>
      </c>
      <c r="V153" s="67">
        <f>IF(AND(W153=W144,B153=B144),"A",1)</f>
        <v>1</v>
      </c>
      <c r="W153" s="44">
        <f>(A153-A144)</f>
        <v>-35</v>
      </c>
    </row>
    <row r="154" spans="1:23" x14ac:dyDescent="0.2">
      <c r="A154" s="216">
        <f>A153</f>
        <v>-35</v>
      </c>
      <c r="B154" s="216">
        <f t="shared" si="17"/>
        <v>40</v>
      </c>
      <c r="L154" s="44">
        <f t="shared" si="11"/>
        <v>-35</v>
      </c>
      <c r="M154" s="44">
        <f t="shared" si="12"/>
        <v>-110</v>
      </c>
      <c r="N154" s="44">
        <f t="shared" si="13"/>
        <v>3850</v>
      </c>
      <c r="O154" s="44">
        <f t="shared" si="14"/>
        <v>-67375</v>
      </c>
      <c r="P154" s="44">
        <f>(B154-B153)*T153^3/12+(B154-B153)*T153*(T153/2-P143)^2+(B154-B153)*(T154-T153)^3/36+(B154-B153)*(T154-T153)/2*(T153+(T154-T153)/3-P143)^2</f>
        <v>1572083.3333333333</v>
      </c>
      <c r="Q154" s="44">
        <f t="shared" si="15"/>
        <v>365750</v>
      </c>
      <c r="R154" s="44">
        <f>T153*(B154-B153)^3/12+T153*(B154-B153)*(B153+(B154-B153)/2-I177)^2+(T154-T153)*(B154-B153)^3/36+(T154-T153)/2*(B154-B153)*(B153+2/3*(B154-B153)-I177)^2</f>
        <v>3978333.3333333335</v>
      </c>
      <c r="S154" s="213">
        <f t="shared" si="16"/>
        <v>-6400625</v>
      </c>
      <c r="T154" s="44">
        <f t="shared" si="10"/>
        <v>-35</v>
      </c>
      <c r="U154" s="67">
        <f t="shared" si="18"/>
        <v>1</v>
      </c>
      <c r="V154" s="67">
        <f>IF(AND(W154=W144,B154=B144),"A",1)</f>
        <v>1</v>
      </c>
      <c r="W154" s="44">
        <f>(A154-A144)</f>
        <v>-35</v>
      </c>
    </row>
    <row r="155" spans="1:23" x14ac:dyDescent="0.2">
      <c r="A155" s="216">
        <f>A112</f>
        <v>-35</v>
      </c>
      <c r="B155" s="216">
        <f t="shared" si="17"/>
        <v>25</v>
      </c>
      <c r="L155" s="44">
        <f t="shared" si="11"/>
        <v>-35</v>
      </c>
      <c r="M155" s="44">
        <f t="shared" si="12"/>
        <v>-15</v>
      </c>
      <c r="N155" s="44">
        <f t="shared" si="13"/>
        <v>525</v>
      </c>
      <c r="O155" s="44">
        <f t="shared" si="14"/>
        <v>-9187.5</v>
      </c>
      <c r="P155" s="44">
        <f>(B155-B154)*T154^3/12+(B155-B154)*T154*(T154/2-P143)^2+(B155-B154)*(T155-T154)^3/36+(B155-B154)*(T155-T154)/2*(T154+(T155-T154)/3-P143)^2</f>
        <v>214375</v>
      </c>
      <c r="Q155" s="44">
        <f t="shared" si="15"/>
        <v>17062.5</v>
      </c>
      <c r="R155" s="44">
        <f>T154*(B155-B154)^3/12+T154*(B155-B154)*(B154+(B155-B154)/2-I177)^2+(T155-T154)*(B155-B154)^3/36+(T155-T154)/2*(B155-B154)*(B154+2/3*(B155-B154)-I177)^2</f>
        <v>1745625</v>
      </c>
      <c r="S155" s="213">
        <f t="shared" si="16"/>
        <v>-298593.75</v>
      </c>
      <c r="T155" s="44">
        <f t="shared" si="10"/>
        <v>-35</v>
      </c>
      <c r="U155" s="67">
        <f t="shared" si="18"/>
        <v>1</v>
      </c>
      <c r="V155" s="67">
        <f>IF(AND(W155=W144,B155=B144),"A",1)</f>
        <v>1</v>
      </c>
      <c r="W155" s="44">
        <f>(A155-A144)</f>
        <v>-35</v>
      </c>
    </row>
    <row r="156" spans="1:23" x14ac:dyDescent="0.2">
      <c r="A156" s="216">
        <f>A113</f>
        <v>-35</v>
      </c>
      <c r="B156" s="216">
        <f t="shared" si="17"/>
        <v>0</v>
      </c>
      <c r="E156" s="44" t="s">
        <v>752</v>
      </c>
      <c r="L156" s="44">
        <f t="shared" si="11"/>
        <v>-35</v>
      </c>
      <c r="M156" s="44">
        <f t="shared" si="12"/>
        <v>-25</v>
      </c>
      <c r="N156" s="44">
        <f t="shared" si="13"/>
        <v>875</v>
      </c>
      <c r="O156" s="44">
        <f t="shared" si="14"/>
        <v>-15312.5</v>
      </c>
      <c r="P156" s="44">
        <f>(B156-B155)*T155^3/12+(B156-B155)*T155*(T155/2-P143)^2+(B156-B155)*(T156-T155)^3/36+(B156-B155)*(T156-T155)/2*(T155+(T156-T155)/3-P143)^2</f>
        <v>357291.66666666669</v>
      </c>
      <c r="Q156" s="44">
        <f t="shared" si="15"/>
        <v>10937.5</v>
      </c>
      <c r="R156" s="44">
        <f>T155*(B156-B155)^3/12+T155*(B156-B155)*(B155+(B156-B155)/2-I177)^2+(T156-T155)*(B156-B155)^3/36+(T156-T155)/2*(B156-B155)*(B155+2/3*(B156-B155)-I177)^2</f>
        <v>5301041.666666667</v>
      </c>
      <c r="S156" s="213">
        <f t="shared" si="16"/>
        <v>-191406.25</v>
      </c>
      <c r="T156" s="44">
        <f t="shared" si="10"/>
        <v>-35</v>
      </c>
      <c r="U156" s="67">
        <f t="shared" si="18"/>
        <v>1</v>
      </c>
      <c r="V156" s="67">
        <f>IF(AND(W156=W144,B156=B144),"A",1)</f>
        <v>1</v>
      </c>
      <c r="W156" s="44">
        <f>(A156-A144)</f>
        <v>-35</v>
      </c>
    </row>
    <row r="157" spans="1:23" hidden="1" x14ac:dyDescent="0.2">
      <c r="A157" s="216">
        <f>A144</f>
        <v>0</v>
      </c>
      <c r="B157" s="216">
        <f>B144</f>
        <v>0</v>
      </c>
      <c r="L157" s="44">
        <f t="shared" si="11"/>
        <v>-17.5</v>
      </c>
      <c r="M157" s="44">
        <f t="shared" si="12"/>
        <v>0</v>
      </c>
      <c r="N157" s="44">
        <f t="shared" si="13"/>
        <v>0</v>
      </c>
      <c r="O157" s="44">
        <f t="shared" si="14"/>
        <v>0</v>
      </c>
      <c r="P157" s="44">
        <f>(B157-B156)*T156^3/12+(B157-B156)*T156*(T156/2-P143)^2+(B157-B156)*(T157-T156)^3/36+(B157-B156)*(T157-T156)/2*(T156+(T157-T156)/3-P143)^2</f>
        <v>0</v>
      </c>
      <c r="Q157" s="44">
        <f t="shared" si="15"/>
        <v>0</v>
      </c>
      <c r="R157" s="44">
        <f>T156*(B157-B156)^3/12+T156*(B157-B156)*(B156+(B157-B156)/2-I177)^2+(T157-T156)*(B157-B156)^3/36+(T157-T156)/2*(B157-B156)*(B156+2/3*(B157-B156)-I177)^2</f>
        <v>0</v>
      </c>
      <c r="S157" s="213">
        <f t="shared" si="16"/>
        <v>0</v>
      </c>
      <c r="T157" s="44">
        <f t="shared" si="10"/>
        <v>0</v>
      </c>
      <c r="U157" s="67">
        <f t="shared" si="18"/>
        <v>0</v>
      </c>
      <c r="V157" s="67" t="str">
        <f>IF(AND(W157=W144,B157=B144),"A",1)</f>
        <v>A</v>
      </c>
      <c r="W157" s="44">
        <f>(A157-A144)</f>
        <v>0</v>
      </c>
    </row>
    <row r="158" spans="1:23" hidden="1" x14ac:dyDescent="0.2">
      <c r="A158" s="211"/>
      <c r="B158" s="216"/>
      <c r="L158" s="44">
        <f t="shared" si="11"/>
        <v>0</v>
      </c>
      <c r="M158" s="44">
        <f t="shared" si="12"/>
        <v>0</v>
      </c>
      <c r="N158" s="44">
        <f t="shared" si="13"/>
        <v>0</v>
      </c>
      <c r="O158" s="44">
        <f t="shared" si="14"/>
        <v>0</v>
      </c>
      <c r="P158" s="44">
        <f>(B158-B157)*T157^3/12+(B158-B157)*T157*(T157/2-P143)^2+(B158-B157)*(T158-T157)^3/36+(B158-B157)*(T158-T157)/2*(T157+(T158-T157)/3-P143)^2</f>
        <v>0</v>
      </c>
      <c r="Q158" s="44">
        <f t="shared" si="15"/>
        <v>0</v>
      </c>
      <c r="R158" s="44">
        <f>T157*(B158-B157)^3/12+T157*(B158-B157)*(B157+(B158-B157)/2-I177)^2+(T158-T157)*(B158-B157)^3/36+(T158-T157)/2*(B158-B157)*(B157+2/3*(B158-B157)-I177)^2</f>
        <v>0</v>
      </c>
      <c r="S158" s="213">
        <f t="shared" si="16"/>
        <v>0</v>
      </c>
      <c r="T158" s="44">
        <f t="shared" si="10"/>
        <v>0</v>
      </c>
      <c r="U158" s="67">
        <f t="shared" si="18"/>
        <v>0</v>
      </c>
      <c r="V158" s="67" t="str">
        <f>IF(AND(W158=W144,B158=B144),"A",1)</f>
        <v>A</v>
      </c>
      <c r="W158" s="44">
        <f>(A158-A144)</f>
        <v>0</v>
      </c>
    </row>
    <row r="159" spans="1:23" hidden="1" x14ac:dyDescent="0.2">
      <c r="A159" s="211"/>
      <c r="B159" s="216"/>
      <c r="L159" s="44">
        <f t="shared" si="11"/>
        <v>0</v>
      </c>
      <c r="M159" s="44">
        <f t="shared" si="12"/>
        <v>0</v>
      </c>
      <c r="N159" s="44">
        <f t="shared" si="13"/>
        <v>0</v>
      </c>
      <c r="O159" s="44">
        <f t="shared" si="14"/>
        <v>0</v>
      </c>
      <c r="P159" s="44">
        <f>(B159-B158)*T158^3/12+(B159-B158)*T158*(T158/2-P143)^2+(B159-B158)*(T159-T158)^3/36+(B159-B158)*(T159-T158)/2*(T158+(T159-T158)/3-P143)^2</f>
        <v>0</v>
      </c>
      <c r="Q159" s="44">
        <f t="shared" si="15"/>
        <v>0</v>
      </c>
      <c r="R159" s="44">
        <f>T158*(B159-B158)^3/12+T158*(B159-B158)*(B158+(B159-B158)/2-I177)^2+(T159-T158)*(B159-B158)^3/36+(T159-T158)/2*(B159-B158)*(B158+2/3*(B159-B158)-I177)^2</f>
        <v>0</v>
      </c>
      <c r="S159" s="213">
        <f t="shared" si="16"/>
        <v>0</v>
      </c>
      <c r="T159" s="44">
        <f t="shared" si="10"/>
        <v>0</v>
      </c>
      <c r="U159" s="67">
        <f t="shared" si="18"/>
        <v>0</v>
      </c>
      <c r="V159" s="67" t="str">
        <f>IF(AND(W159=W144,B159=B144),"A",1)</f>
        <v>A</v>
      </c>
      <c r="W159" s="44">
        <f>(A159-A144)</f>
        <v>0</v>
      </c>
    </row>
    <row r="160" spans="1:23" hidden="1" x14ac:dyDescent="0.2">
      <c r="A160" s="216"/>
      <c r="B160" s="216"/>
      <c r="L160" s="44">
        <f t="shared" si="11"/>
        <v>0</v>
      </c>
      <c r="M160" s="44">
        <f t="shared" si="12"/>
        <v>0</v>
      </c>
      <c r="N160" s="44">
        <f t="shared" si="13"/>
        <v>0</v>
      </c>
      <c r="O160" s="44">
        <f t="shared" si="14"/>
        <v>0</v>
      </c>
      <c r="P160" s="44">
        <f>(B160-B159)*T159^3/12+(B160-B159)*T159*(T159/2-P143)^2+(B160-B159)*(T160-T159)^3/36+(B160-B159)*(T160-T159)/2*(T159+(T160-T159)/3-P143)^2</f>
        <v>0</v>
      </c>
      <c r="Q160" s="44">
        <f t="shared" si="15"/>
        <v>0</v>
      </c>
      <c r="R160" s="44">
        <f>T159*(B160-B159)^3/12+T159*(B160-B159)*(B159+(B160-B159)/2-I177)^2+(T160-T159)*(B160-B159)^3/36+(T160-T159)/2*(B160-B159)*(B159+2/3*(B160-B159)-I177)^2</f>
        <v>0</v>
      </c>
      <c r="S160" s="213">
        <f t="shared" si="16"/>
        <v>0</v>
      </c>
      <c r="T160" s="44">
        <f t="shared" si="10"/>
        <v>0</v>
      </c>
      <c r="U160" s="67">
        <f t="shared" si="18"/>
        <v>0</v>
      </c>
      <c r="V160" s="67" t="str">
        <f>IF(AND(W160=W144,B160=B144),"A",1)</f>
        <v>A</v>
      </c>
      <c r="W160" s="44">
        <f>(A160-A144)</f>
        <v>0</v>
      </c>
    </row>
    <row r="161" spans="1:23" hidden="1" x14ac:dyDescent="0.2">
      <c r="A161" s="216"/>
      <c r="B161" s="216"/>
      <c r="L161" s="44">
        <f t="shared" si="11"/>
        <v>0</v>
      </c>
      <c r="M161" s="44">
        <f t="shared" si="12"/>
        <v>0</v>
      </c>
      <c r="N161" s="44">
        <f t="shared" si="13"/>
        <v>0</v>
      </c>
      <c r="O161" s="44">
        <f t="shared" si="14"/>
        <v>0</v>
      </c>
      <c r="P161" s="44">
        <f>(B161-B160)*T160^3/12+(B161-B160)*T160*(T160/2-P143)^2+(B161-B160)*(T161-T160)^3/36+(B161-B160)*(T161-T160)/2*(T160+(T161-T160)/3-P143)^2</f>
        <v>0</v>
      </c>
      <c r="Q161" s="44">
        <f t="shared" si="15"/>
        <v>0</v>
      </c>
      <c r="R161" s="44">
        <f>T160*(B161-B160)^3/12+T160*(B161-B160)*(B160+(B161-B160)/2-I177)^2+(T161-T160)*(B161-B160)^3/36+(T161-T160)/2*(B161-B160)*(B160+2/3*(B161-B160)-I177)^2</f>
        <v>0</v>
      </c>
      <c r="S161" s="213">
        <f t="shared" si="16"/>
        <v>0</v>
      </c>
      <c r="T161" s="44">
        <f t="shared" si="10"/>
        <v>0</v>
      </c>
      <c r="U161" s="67">
        <f t="shared" si="18"/>
        <v>0</v>
      </c>
      <c r="V161" s="67" t="str">
        <f>IF(AND(W161=W144,B161=B144),"A",1)</f>
        <v>A</v>
      </c>
      <c r="W161" s="44">
        <f>(A161-A144)</f>
        <v>0</v>
      </c>
    </row>
    <row r="162" spans="1:23" hidden="1" x14ac:dyDescent="0.2">
      <c r="A162" s="211"/>
      <c r="B162" s="216"/>
      <c r="L162" s="44">
        <f t="shared" si="11"/>
        <v>0</v>
      </c>
      <c r="M162" s="44">
        <f t="shared" si="12"/>
        <v>0</v>
      </c>
      <c r="N162" s="44">
        <f t="shared" si="13"/>
        <v>0</v>
      </c>
      <c r="O162" s="44">
        <f t="shared" si="14"/>
        <v>0</v>
      </c>
      <c r="P162" s="44">
        <f>(B162-B161)*T161^3/12+(B162-B161)*T161*(T161/2-P143)^2+(B162-B161)*(T162-T161)^3/36+(B162-B161)*(T162-T161)/2*(T161+(T162-T161)/3-P143)^2</f>
        <v>0</v>
      </c>
      <c r="Q162" s="44">
        <f t="shared" si="15"/>
        <v>0</v>
      </c>
      <c r="R162" s="44">
        <f>T161*(B162-B161)^3/12+T161*(B162-B161)*(B161+(B162-B161)/2-I177)^2+(T162-T161)*(B162-B161)^3/36+(T162-T161)/2*(B162-B161)*(B161+2/3*(B162-B161)-I177)^2</f>
        <v>0</v>
      </c>
      <c r="S162" s="213">
        <f t="shared" si="16"/>
        <v>0</v>
      </c>
      <c r="T162" s="44">
        <f t="shared" si="10"/>
        <v>0</v>
      </c>
      <c r="U162" s="67">
        <f t="shared" si="18"/>
        <v>0</v>
      </c>
      <c r="V162" s="67" t="str">
        <f>IF(AND(W162=W144,B162=B144),"A",1)</f>
        <v>A</v>
      </c>
      <c r="W162" s="44">
        <f>(A162-A144)</f>
        <v>0</v>
      </c>
    </row>
    <row r="163" spans="1:23" hidden="1" x14ac:dyDescent="0.2">
      <c r="A163" s="216"/>
      <c r="B163" s="216"/>
      <c r="L163" s="44">
        <f t="shared" si="11"/>
        <v>0</v>
      </c>
      <c r="M163" s="44">
        <f t="shared" si="12"/>
        <v>0</v>
      </c>
      <c r="N163" s="44">
        <f t="shared" si="13"/>
        <v>0</v>
      </c>
      <c r="O163" s="44">
        <f t="shared" si="14"/>
        <v>0</v>
      </c>
      <c r="P163" s="44">
        <f>(B163-B162)*T162^3/12+(B163-B162)*T162*(T162/2-P143)^2+(B163-B162)*(T163-T162)^3/36+(B163-B162)*(T163-T162)/2*(T162+(T163-T162)/3-P143)^2</f>
        <v>0</v>
      </c>
      <c r="Q163" s="44">
        <f t="shared" si="15"/>
        <v>0</v>
      </c>
      <c r="R163" s="44">
        <f>T162*(B163-B162)^3/12+T162*(B163-B162)*(B162+(B163-B162)/2-I177)^2+(T163-T162)*(B163-B162)^3/36+(T163-T162)/2*(B163-B162)*(B162+2/3*(B163-B162)-I177)^2</f>
        <v>0</v>
      </c>
      <c r="S163" s="213">
        <f t="shared" si="16"/>
        <v>0</v>
      </c>
      <c r="T163" s="44">
        <f t="shared" si="10"/>
        <v>0</v>
      </c>
      <c r="U163" s="67">
        <f t="shared" si="18"/>
        <v>0</v>
      </c>
      <c r="V163" s="67" t="str">
        <f>IF(AND(W163=W144,B163=B144),"A",1)</f>
        <v>A</v>
      </c>
      <c r="W163" s="44">
        <f>(A163-A144)</f>
        <v>0</v>
      </c>
    </row>
    <row r="164" spans="1:23" hidden="1" x14ac:dyDescent="0.2">
      <c r="A164" s="211"/>
      <c r="B164" s="216"/>
      <c r="L164" s="44">
        <f t="shared" si="11"/>
        <v>0</v>
      </c>
      <c r="M164" s="44">
        <f t="shared" si="12"/>
        <v>0</v>
      </c>
      <c r="N164" s="44">
        <f t="shared" si="13"/>
        <v>0</v>
      </c>
      <c r="O164" s="44">
        <f t="shared" si="14"/>
        <v>0</v>
      </c>
      <c r="P164" s="44">
        <f>(B164-B163)*T163^3/12+(B164-B163)*T163*(T163/2-P143)^2+(B164-B163)*(T164-T163)^3/36+(B164-B163)*(T164-T163)/2*(T163+(T164-T163)/3-P143)^2</f>
        <v>0</v>
      </c>
      <c r="Q164" s="44">
        <f t="shared" si="15"/>
        <v>0</v>
      </c>
      <c r="R164" s="44">
        <f>T163*(B164-B163)^3/12+T163*(B164-B163)*(B163+(B164-B163)/2-I177)^2+(T164-T163)*(B164-B163)^3/36+(T164-T163)/2*(B164-B163)*(B163+2/3*(B164-B163)-I177)^2</f>
        <v>0</v>
      </c>
      <c r="S164" s="213">
        <f t="shared" si="16"/>
        <v>0</v>
      </c>
      <c r="T164" s="44">
        <f t="shared" si="10"/>
        <v>0</v>
      </c>
      <c r="U164" s="67">
        <f t="shared" si="18"/>
        <v>0</v>
      </c>
      <c r="V164" s="67" t="str">
        <f>IF(AND(W164=W144,B164=B144),"A",1)</f>
        <v>A</v>
      </c>
      <c r="W164" s="44">
        <f>(A164-A144)</f>
        <v>0</v>
      </c>
    </row>
    <row r="165" spans="1:23" hidden="1" x14ac:dyDescent="0.2">
      <c r="A165" s="211"/>
      <c r="B165" s="216"/>
      <c r="L165" s="44">
        <f t="shared" si="11"/>
        <v>0</v>
      </c>
      <c r="M165" s="44">
        <f t="shared" si="12"/>
        <v>0</v>
      </c>
      <c r="N165" s="44">
        <f t="shared" si="13"/>
        <v>0</v>
      </c>
      <c r="O165" s="44">
        <f t="shared" si="14"/>
        <v>0</v>
      </c>
      <c r="P165" s="44">
        <f>(B165-B164)*T164^3/12+(B165-B164)*T164*(T164/2-P143)^2+(B165-B164)*(T165-T164)^3/36+(B165-B164)*(T165-T164)/2*(T164+(T165-T164)/3-P143)^2</f>
        <v>0</v>
      </c>
      <c r="Q165" s="44">
        <f t="shared" si="15"/>
        <v>0</v>
      </c>
      <c r="R165" s="44">
        <f>T164*(B165-B164)^3/12+T164*(B165-B164)*(B164+(B165-B164)/2-I177)^2+(T165-T164)*(B165-B164)^3/36+(T165-T164)/2*(B165-B164)*(B164+2/3*(B165-B164)-I177)^2</f>
        <v>0</v>
      </c>
      <c r="S165" s="213">
        <f t="shared" si="16"/>
        <v>0</v>
      </c>
      <c r="T165" s="44">
        <f t="shared" si="10"/>
        <v>0</v>
      </c>
      <c r="U165" s="67">
        <f t="shared" si="18"/>
        <v>0</v>
      </c>
      <c r="V165" s="67" t="str">
        <f>IF(AND(W165=W144,B165=B144),"A",1)</f>
        <v>A</v>
      </c>
      <c r="W165" s="44">
        <f>(A165-A144)</f>
        <v>0</v>
      </c>
    </row>
    <row r="166" spans="1:23" hidden="1" x14ac:dyDescent="0.2">
      <c r="A166" s="211"/>
      <c r="B166" s="216"/>
      <c r="L166" s="44">
        <f t="shared" si="11"/>
        <v>0</v>
      </c>
      <c r="M166" s="44">
        <f t="shared" si="12"/>
        <v>0</v>
      </c>
      <c r="N166" s="44">
        <f t="shared" si="13"/>
        <v>0</v>
      </c>
      <c r="O166" s="44">
        <f t="shared" si="14"/>
        <v>0</v>
      </c>
      <c r="P166" s="44">
        <f>(B166-B165)*T165^3/12+(B166-B165)*T165*(T165/2-P143)^2+(B166-B165)*(T166-T165)^3/36+(B166-B165)*(T166-T165)/2*(T165+(T166-T165)/3-P143)^2</f>
        <v>0</v>
      </c>
      <c r="Q166" s="44">
        <f t="shared" si="15"/>
        <v>0</v>
      </c>
      <c r="R166" s="44">
        <f>T165*(B166-B165)^3/12+T165*(B166-B165)*(B165+(B166-B165)/2-I177)^2+(T166-T165)*(B166-B165)^3/36+(T166-T165)/2*(B166-B165)*(B165+2/3*(B166-B165)-I177)^2</f>
        <v>0</v>
      </c>
      <c r="S166" s="213">
        <f t="shared" si="16"/>
        <v>0</v>
      </c>
      <c r="T166" s="44">
        <f t="shared" si="10"/>
        <v>0</v>
      </c>
      <c r="U166" s="67">
        <f t="shared" si="18"/>
        <v>0</v>
      </c>
      <c r="V166" s="67" t="str">
        <f>IF(AND(W166=W144,B166=B144),"A",1)</f>
        <v>A</v>
      </c>
      <c r="W166" s="44">
        <f>(A166-A144)</f>
        <v>0</v>
      </c>
    </row>
    <row r="167" spans="1:23" hidden="1" x14ac:dyDescent="0.2">
      <c r="A167" s="216"/>
      <c r="B167" s="216"/>
      <c r="L167" s="44">
        <f t="shared" si="11"/>
        <v>0</v>
      </c>
      <c r="M167" s="44">
        <f t="shared" si="12"/>
        <v>0</v>
      </c>
      <c r="N167" s="44">
        <f t="shared" si="13"/>
        <v>0</v>
      </c>
      <c r="O167" s="44">
        <f t="shared" si="14"/>
        <v>0</v>
      </c>
      <c r="P167" s="44">
        <f>(B167-B166)*T166^3/12+(B167-B166)*T166*(T166/2-P143)^2+(B167-B166)*(T167-T166)^3/36+(B167-B166)*(T167-T166)/2*(T166+(T167-T166)/3-P143)^2</f>
        <v>0</v>
      </c>
      <c r="Q167" s="44">
        <f t="shared" si="15"/>
        <v>0</v>
      </c>
      <c r="R167" s="44">
        <f>T166*(B167-B166)^3/12+T166*(B167-B166)*(B166+(B167-B166)/2-I177)^2+(T167-T166)*(B167-B166)^3/36+(T167-T166)/2*(B167-B166)*(B166+2/3*(B167-B166)-I177)^2</f>
        <v>0</v>
      </c>
      <c r="S167" s="213">
        <f t="shared" si="16"/>
        <v>0</v>
      </c>
      <c r="T167" s="44">
        <f t="shared" si="10"/>
        <v>0</v>
      </c>
      <c r="U167" s="67">
        <f t="shared" si="18"/>
        <v>0</v>
      </c>
      <c r="V167" s="67" t="str">
        <f>IF(AND(W167=W144,B167=B144),"A",1)</f>
        <v>A</v>
      </c>
      <c r="W167" s="44">
        <f>(A167-A144)</f>
        <v>0</v>
      </c>
    </row>
    <row r="168" spans="1:23" hidden="1" x14ac:dyDescent="0.2">
      <c r="A168" s="216"/>
      <c r="B168" s="216"/>
      <c r="L168" s="44">
        <f t="shared" si="11"/>
        <v>0</v>
      </c>
      <c r="M168" s="44">
        <f t="shared" si="12"/>
        <v>0</v>
      </c>
      <c r="N168" s="44">
        <f t="shared" si="13"/>
        <v>0</v>
      </c>
      <c r="O168" s="44">
        <f t="shared" si="14"/>
        <v>0</v>
      </c>
      <c r="P168" s="44">
        <f>(B168-B167)*T167^3/12+(B168-B167)*T167*(T167/2-P143)^2+(B168-B167)*(T168-T167)^3/36+(B168-B167)*(T168-T167)/2*(T167+(T168-T167)/3-P143)^2</f>
        <v>0</v>
      </c>
      <c r="Q168" s="44">
        <f t="shared" si="15"/>
        <v>0</v>
      </c>
      <c r="R168" s="44">
        <f>T167*(B168-B167)^3/12+T167*(B168-B167)*(B167+(B168-B167)/2-I177)^2+(T168-T167)*(B168-B167)^3/36+(T168-T167)/2*(B168-B167)*(B167+2/3*(B168-B167)-I177)^2</f>
        <v>0</v>
      </c>
      <c r="S168" s="213">
        <f t="shared" si="16"/>
        <v>0</v>
      </c>
      <c r="T168" s="44">
        <f t="shared" si="10"/>
        <v>0</v>
      </c>
      <c r="U168" s="67">
        <f t="shared" si="18"/>
        <v>0</v>
      </c>
      <c r="V168" s="67" t="str">
        <f>IF(AND(W168=W144,B168=B144),"A",1)</f>
        <v>A</v>
      </c>
      <c r="W168" s="44">
        <f>(A168-A144)</f>
        <v>0</v>
      </c>
    </row>
    <row r="169" spans="1:23" hidden="1" x14ac:dyDescent="0.2">
      <c r="A169" s="216"/>
      <c r="B169" s="216"/>
      <c r="L169" s="44">
        <f t="shared" si="11"/>
        <v>0</v>
      </c>
      <c r="M169" s="44">
        <f t="shared" si="12"/>
        <v>0</v>
      </c>
      <c r="N169" s="44">
        <f t="shared" si="13"/>
        <v>0</v>
      </c>
      <c r="O169" s="44">
        <f t="shared" si="14"/>
        <v>0</v>
      </c>
      <c r="P169" s="44">
        <f>(B169-B168)*T168^3/12+(B169-B168)*T168*(T168/2-P143)^2+(B169-B168)*(T169-T168)^3/36+(B169-B168)*(T169-T168)/2*(T168+(T169-T168)/3-P143)^2</f>
        <v>0</v>
      </c>
      <c r="Q169" s="44">
        <f t="shared" si="15"/>
        <v>0</v>
      </c>
      <c r="R169" s="44">
        <f>T168*(B169-B168)^3/12+T168*(B169-B168)*(B168+(B169-B168)/2-I177)^2+(T169-T168)*(B169-B168)^3/36+(T169-T168)/2*(B169-B168)*(B168+2/3*(B169-B168)-I177)^2</f>
        <v>0</v>
      </c>
      <c r="S169" s="213">
        <f t="shared" si="16"/>
        <v>0</v>
      </c>
      <c r="T169" s="44">
        <f t="shared" si="10"/>
        <v>0</v>
      </c>
      <c r="U169" s="67">
        <f t="shared" si="18"/>
        <v>0</v>
      </c>
      <c r="V169" s="67" t="str">
        <f>IF(AND(W169=W144,B169=B144),"A",1)</f>
        <v>A</v>
      </c>
      <c r="W169" s="44">
        <f>(A169-A144)</f>
        <v>0</v>
      </c>
    </row>
    <row r="170" spans="1:23" hidden="1" x14ac:dyDescent="0.2">
      <c r="A170" s="216"/>
      <c r="B170" s="216"/>
      <c r="L170" s="44">
        <f t="shared" si="11"/>
        <v>0</v>
      </c>
      <c r="M170" s="44">
        <f t="shared" si="12"/>
        <v>0</v>
      </c>
      <c r="N170" s="44">
        <f t="shared" si="13"/>
        <v>0</v>
      </c>
      <c r="O170" s="44">
        <f t="shared" si="14"/>
        <v>0</v>
      </c>
      <c r="P170" s="44">
        <f>(B170-B169)*T169^3/12+(B170-B169)*T169*(T169/2-P143)^2+(B170-B169)*(T170-T169)^3/36+(B170-B169)*(T170-T169)/2*(T169+(T170-T169)/3-P143)^2</f>
        <v>0</v>
      </c>
      <c r="Q170" s="44">
        <f t="shared" si="15"/>
        <v>0</v>
      </c>
      <c r="R170" s="44">
        <f>T169*(B170-B169)^3/12+T169*(B170-B169)*(B169+(B170-B169)/2-I177)^2+(T170-T169)*(B170-B169)^3/36+(T170-T169)/2*(B170-B169)*(B169+2/3*(B170-B169)-I177)^2</f>
        <v>0</v>
      </c>
      <c r="S170" s="213">
        <f t="shared" si="16"/>
        <v>0</v>
      </c>
      <c r="T170" s="44">
        <f t="shared" si="10"/>
        <v>0</v>
      </c>
      <c r="U170" s="67">
        <f t="shared" si="18"/>
        <v>0</v>
      </c>
      <c r="V170" s="67" t="str">
        <f>IF(AND(W170=W144,B170=B144),"A",1)</f>
        <v>A</v>
      </c>
      <c r="W170" s="44">
        <f>(A170-A144)</f>
        <v>0</v>
      </c>
    </row>
    <row r="171" spans="1:23" hidden="1" x14ac:dyDescent="0.2">
      <c r="A171" s="216"/>
      <c r="B171" s="216"/>
      <c r="L171" s="44">
        <f t="shared" si="11"/>
        <v>0</v>
      </c>
      <c r="M171" s="44">
        <f t="shared" si="12"/>
        <v>0</v>
      </c>
      <c r="N171" s="44">
        <f t="shared" si="13"/>
        <v>0</v>
      </c>
      <c r="O171" s="44">
        <f t="shared" si="14"/>
        <v>0</v>
      </c>
      <c r="P171" s="44">
        <f>(B171-B170)*T170^3/12+(B171-B170)*T170*(T170/2-P143)^2+(B171-B170)*(T171-T170)^3/36+(B171-B170)*(T171-T170)/2*(T170+(T171-T170)/3-P143)^2</f>
        <v>0</v>
      </c>
      <c r="Q171" s="44">
        <f t="shared" si="15"/>
        <v>0</v>
      </c>
      <c r="R171" s="44">
        <f>T170*(B171-B170)^3/12+T170*(B171-B170)*(B170+(B171-B170)/2-I177)^2+(T171-T170)*(B171-B170)^3/36+(T171-T170)/2*(B171-B170)*(B170+2/3*(B171-B170)-I177)^2</f>
        <v>0</v>
      </c>
      <c r="S171" s="213">
        <f t="shared" si="16"/>
        <v>0</v>
      </c>
      <c r="T171" s="44">
        <f t="shared" si="10"/>
        <v>0</v>
      </c>
      <c r="U171" s="67">
        <f t="shared" si="18"/>
        <v>0</v>
      </c>
      <c r="V171" s="67" t="str">
        <f>IF(AND(W171=W144,B171=B144),"A",1)</f>
        <v>A</v>
      </c>
      <c r="W171" s="44">
        <f>(A171-A144)</f>
        <v>0</v>
      </c>
    </row>
    <row r="172" spans="1:23" hidden="1" x14ac:dyDescent="0.2">
      <c r="A172" s="216"/>
      <c r="B172" s="216"/>
      <c r="L172" s="44">
        <f t="shared" si="11"/>
        <v>0</v>
      </c>
      <c r="M172" s="44">
        <f t="shared" si="12"/>
        <v>0</v>
      </c>
      <c r="N172" s="44">
        <f t="shared" si="13"/>
        <v>0</v>
      </c>
      <c r="O172" s="44">
        <f t="shared" si="14"/>
        <v>0</v>
      </c>
      <c r="P172" s="44">
        <f>(B172-B171)*T171^3/12+(B172-B171)*T171*(T171/2-P143)^2+(B172-B171)*(T172-T171)^3/36+(B172-B171)*(T172-T171)/2*(T171+(T172-T171)/3-P143)^2</f>
        <v>0</v>
      </c>
      <c r="Q172" s="44">
        <f t="shared" si="15"/>
        <v>0</v>
      </c>
      <c r="R172" s="44">
        <f>T171*(B172-B171)^3/12+T171*(B172-B171)*(B171+(B172-B171)/2-I177)^2+(T172-T171)*(B172-B171)^3/36+(T172-T171)/2*(B172-B171)*(B171+2/3*(B172-B171)-I177)^2</f>
        <v>0</v>
      </c>
      <c r="S172" s="213">
        <f t="shared" si="16"/>
        <v>0</v>
      </c>
      <c r="T172" s="44">
        <f t="shared" si="10"/>
        <v>0</v>
      </c>
      <c r="U172" s="67">
        <f t="shared" si="18"/>
        <v>0</v>
      </c>
      <c r="V172" s="67" t="str">
        <f>IF(AND(W172=W144,B172=B144),"A",1)</f>
        <v>A</v>
      </c>
      <c r="W172" s="44">
        <f>(A172-A144)</f>
        <v>0</v>
      </c>
    </row>
    <row r="173" spans="1:23" hidden="1" x14ac:dyDescent="0.2">
      <c r="A173" s="216"/>
      <c r="B173" s="216"/>
      <c r="L173" s="44">
        <f t="shared" si="11"/>
        <v>0</v>
      </c>
      <c r="M173" s="44">
        <f t="shared" si="12"/>
        <v>0</v>
      </c>
      <c r="N173" s="44">
        <f t="shared" si="13"/>
        <v>0</v>
      </c>
      <c r="O173" s="44">
        <f t="shared" si="14"/>
        <v>0</v>
      </c>
      <c r="P173" s="44">
        <f>(B173-B172)*T172^3/12+(B173-B172)*T172*(T172/2-P143)^2+(B173-B172)*(T173-T172)^3/36+(B173-B172)*(T173-T172)/2*(T172+(T173-T172)/3-P143)^2</f>
        <v>0</v>
      </c>
      <c r="Q173" s="44">
        <f t="shared" si="15"/>
        <v>0</v>
      </c>
      <c r="R173" s="44">
        <f>T172*(B173-B172)^3/12+T172*(B173-B172)*(B172+(B173-B172)/2-I177)^2+(T173-T172)*(B173-B172)^3/36+(T173-T172)/2*(B173-B172)*(B172+2/3*(B173-B172)-I177)^2</f>
        <v>0</v>
      </c>
      <c r="S173" s="213">
        <f t="shared" si="16"/>
        <v>0</v>
      </c>
      <c r="T173" s="44">
        <f t="shared" si="10"/>
        <v>0</v>
      </c>
      <c r="U173" s="67">
        <f t="shared" si="18"/>
        <v>0</v>
      </c>
      <c r="V173" s="67" t="str">
        <f>IF(AND(W173=W144,B173=B144),"A",1)</f>
        <v>A</v>
      </c>
      <c r="W173" s="44">
        <f>(A173-A144)</f>
        <v>0</v>
      </c>
    </row>
    <row r="174" spans="1:23" hidden="1" x14ac:dyDescent="0.2">
      <c r="N174" s="214">
        <f t="shared" ref="N174:S174" si="19">SUM(N145:N173)</f>
        <v>12600</v>
      </c>
      <c r="O174" s="44">
        <f t="shared" si="19"/>
        <v>0</v>
      </c>
      <c r="P174" s="217">
        <f t="shared" si="19"/>
        <v>5145000</v>
      </c>
      <c r="Q174" s="44">
        <f t="shared" si="19"/>
        <v>1134000</v>
      </c>
      <c r="R174" s="44">
        <f t="shared" si="19"/>
        <v>34020000</v>
      </c>
      <c r="S174" s="213">
        <f t="shared" si="19"/>
        <v>0</v>
      </c>
    </row>
    <row r="175" spans="1:23" ht="12.55" x14ac:dyDescent="0.2">
      <c r="C175" s="207"/>
      <c r="D175" s="207" t="s">
        <v>363</v>
      </c>
      <c r="H175" s="44" t="s">
        <v>24</v>
      </c>
      <c r="I175" s="44">
        <f>ABS(N174)</f>
        <v>12600</v>
      </c>
      <c r="J175" s="44" t="s">
        <v>909</v>
      </c>
      <c r="K175" s="44" t="s">
        <v>753</v>
      </c>
      <c r="Q175" s="67"/>
      <c r="S175" s="213"/>
    </row>
    <row r="176" spans="1:23" x14ac:dyDescent="0.2">
      <c r="C176" s="207"/>
      <c r="D176" s="207" t="s">
        <v>364</v>
      </c>
      <c r="H176" s="44" t="s">
        <v>24</v>
      </c>
      <c r="I176" s="157">
        <f>A144+O174/N174</f>
        <v>0</v>
      </c>
      <c r="J176" s="44" t="s">
        <v>21</v>
      </c>
      <c r="Q176" s="67"/>
      <c r="S176" s="213"/>
    </row>
    <row r="177" spans="1:28" x14ac:dyDescent="0.2">
      <c r="C177" s="207"/>
      <c r="D177" s="207" t="s">
        <v>365</v>
      </c>
      <c r="H177" s="44" t="s">
        <v>24</v>
      </c>
      <c r="I177" s="157">
        <f>Q174/N174</f>
        <v>90</v>
      </c>
      <c r="J177" s="44" t="s">
        <v>21</v>
      </c>
      <c r="K177" s="44" t="s">
        <v>754</v>
      </c>
      <c r="S177" s="213"/>
    </row>
    <row r="178" spans="1:28" ht="12.55" x14ac:dyDescent="0.2">
      <c r="D178" s="207" t="s">
        <v>366</v>
      </c>
      <c r="H178" s="44" t="s">
        <v>24</v>
      </c>
      <c r="I178" s="220">
        <f>ABS(R174)</f>
        <v>34020000</v>
      </c>
      <c r="J178" s="44" t="s">
        <v>910</v>
      </c>
      <c r="K178" s="44" t="s">
        <v>755</v>
      </c>
      <c r="S178" s="218"/>
    </row>
    <row r="179" spans="1:28" ht="12.55" x14ac:dyDescent="0.2">
      <c r="D179" s="207" t="s">
        <v>367</v>
      </c>
      <c r="H179" s="44" t="s">
        <v>24</v>
      </c>
      <c r="I179" s="220">
        <f>ABS(P174)</f>
        <v>5145000</v>
      </c>
      <c r="J179" s="44" t="s">
        <v>910</v>
      </c>
      <c r="R179" s="131"/>
    </row>
    <row r="180" spans="1:28" x14ac:dyDescent="0.2">
      <c r="D180" s="231" t="s">
        <v>123</v>
      </c>
      <c r="I180" s="220"/>
    </row>
    <row r="181" spans="1:28" ht="11.9" x14ac:dyDescent="0.25">
      <c r="D181" s="231" t="s">
        <v>923</v>
      </c>
      <c r="H181" s="44" t="s">
        <v>24</v>
      </c>
      <c r="I181" s="157">
        <f>I177</f>
        <v>90</v>
      </c>
      <c r="J181" s="44" t="s">
        <v>21</v>
      </c>
    </row>
    <row r="182" spans="1:28" ht="11.9" x14ac:dyDescent="0.25">
      <c r="D182" s="231" t="s">
        <v>924</v>
      </c>
      <c r="H182" s="44" t="s">
        <v>24</v>
      </c>
      <c r="I182" s="157">
        <f>B151-I177</f>
        <v>90</v>
      </c>
      <c r="J182" s="44" t="s">
        <v>21</v>
      </c>
    </row>
    <row r="183" spans="1:28" ht="12.55" x14ac:dyDescent="0.2">
      <c r="D183" s="207" t="s">
        <v>273</v>
      </c>
      <c r="H183" s="44" t="s">
        <v>24</v>
      </c>
      <c r="I183" s="220">
        <f>I178/(I177)</f>
        <v>378000</v>
      </c>
      <c r="J183" s="44" t="s">
        <v>913</v>
      </c>
      <c r="K183" s="44" t="s">
        <v>756</v>
      </c>
    </row>
    <row r="184" spans="1:28" ht="12.7" customHeight="1" x14ac:dyDescent="0.2">
      <c r="D184" s="207" t="s">
        <v>758</v>
      </c>
      <c r="H184" s="44" t="s">
        <v>24</v>
      </c>
      <c r="I184" s="220">
        <f>I178/(B150-I177)</f>
        <v>378000</v>
      </c>
      <c r="J184" s="44" t="s">
        <v>913</v>
      </c>
      <c r="K184" s="44" t="s">
        <v>757</v>
      </c>
    </row>
    <row r="186" spans="1:28" x14ac:dyDescent="0.2">
      <c r="C186" s="67"/>
      <c r="D186" s="207" t="s">
        <v>368</v>
      </c>
    </row>
    <row r="187" spans="1:28" x14ac:dyDescent="0.2">
      <c r="C187" s="67"/>
      <c r="F187" s="67" t="s">
        <v>41</v>
      </c>
      <c r="G187" s="80">
        <v>300</v>
      </c>
      <c r="H187" s="44" t="s">
        <v>42</v>
      </c>
    </row>
    <row r="188" spans="1:28" ht="11.3" thickBot="1" x14ac:dyDescent="0.25"/>
    <row r="189" spans="1:28" ht="11.3" thickBot="1" x14ac:dyDescent="0.25">
      <c r="A189" s="209" t="s">
        <v>0</v>
      </c>
      <c r="B189" s="210" t="s">
        <v>1</v>
      </c>
      <c r="P189" s="157">
        <f>I222-A190</f>
        <v>38.6</v>
      </c>
    </row>
    <row r="190" spans="1:28" ht="12.55" x14ac:dyDescent="0.2">
      <c r="A190" s="211">
        <f>A112</f>
        <v>-35</v>
      </c>
      <c r="B190" s="211">
        <f>B112</f>
        <v>25</v>
      </c>
      <c r="L190" s="131"/>
      <c r="M190" s="131"/>
      <c r="N190" s="131" t="s">
        <v>2</v>
      </c>
      <c r="O190" s="131" t="s">
        <v>3</v>
      </c>
      <c r="P190" s="131" t="s">
        <v>907</v>
      </c>
      <c r="Q190" s="131" t="s">
        <v>4</v>
      </c>
      <c r="R190" s="131" t="s">
        <v>908</v>
      </c>
      <c r="S190" s="131" t="s">
        <v>5</v>
      </c>
      <c r="T190" s="44">
        <f t="shared" ref="T190:T219" si="20">U190*W190</f>
        <v>0</v>
      </c>
      <c r="U190" s="67">
        <v>1</v>
      </c>
      <c r="V190" s="67"/>
      <c r="W190" s="44">
        <f>(A190-A190)</f>
        <v>0</v>
      </c>
      <c r="AB190" s="44" t="s">
        <v>22</v>
      </c>
    </row>
    <row r="191" spans="1:28" x14ac:dyDescent="0.2">
      <c r="A191" s="211">
        <f>A111</f>
        <v>-15</v>
      </c>
      <c r="B191" s="211">
        <f>B111</f>
        <v>40</v>
      </c>
      <c r="L191" s="44">
        <f t="shared" ref="L191:L219" si="21">T190+(T191-T190)/2</f>
        <v>10</v>
      </c>
      <c r="M191" s="44">
        <f t="shared" ref="M191:M219" si="22">B191-B190</f>
        <v>15</v>
      </c>
      <c r="N191" s="44">
        <f t="shared" ref="N191:N219" si="23">L191*M191</f>
        <v>150</v>
      </c>
      <c r="O191" s="44">
        <f t="shared" ref="O191:O219" si="24">T190^2/2*M191+(T191-T190)/2*M191*(T190+(T191-T190)/3)</f>
        <v>1000</v>
      </c>
      <c r="P191" s="44">
        <f>(B191-B190)*T190^3/12+(B191-B190)*T190*(T190/2-P189)^2+(B191-B190)*(T191-T190)^3/36+(B191-B190)*(T191-T190)/2*(T190+(T191-T190)/3-P189)^2</f>
        <v>156294</v>
      </c>
      <c r="Q191" s="44">
        <f t="shared" ref="Q191:Q219" si="25">T190*(B191-B190)*(B190+(B191-B190)/2)+(T191-T190)/2*(B191-B190)*(B190+2/3*(B191-B190))</f>
        <v>5250</v>
      </c>
      <c r="R191" s="44">
        <f>T190*(B191-B190)^3/12+T190*(B191-B190)*(B190+(B191-B190)/2-I224)^2+(T191-T190)*(B191-B190)^3/36+(T191-T190)/2*(B191-B190)*(B190+2/3*(B191-B190)-I224)^2</f>
        <v>185625</v>
      </c>
      <c r="S191" s="213">
        <f t="shared" ref="S191:S219" si="26">T190^2/2*M191*(B190+(B191-B190)/2)+(T191-T190)/2*M191*(T190+(T191-T190)/3)*(B190+2/3*(B191-B190))</f>
        <v>35000</v>
      </c>
      <c r="T191" s="44">
        <f t="shared" si="20"/>
        <v>20</v>
      </c>
      <c r="U191" s="67">
        <v>1</v>
      </c>
      <c r="V191" s="67">
        <f>IF(AND(W191=W190,B191=B190),A,1)</f>
        <v>1</v>
      </c>
      <c r="W191" s="44">
        <f>(A191-A190)</f>
        <v>20</v>
      </c>
    </row>
    <row r="192" spans="1:28" x14ac:dyDescent="0.2">
      <c r="A192" s="211">
        <f>A110</f>
        <v>-15</v>
      </c>
      <c r="B192" s="211">
        <f>B110</f>
        <v>150</v>
      </c>
      <c r="L192" s="44">
        <f t="shared" si="21"/>
        <v>20</v>
      </c>
      <c r="M192" s="44">
        <f t="shared" si="22"/>
        <v>110</v>
      </c>
      <c r="N192" s="44">
        <f t="shared" si="23"/>
        <v>2200</v>
      </c>
      <c r="O192" s="44">
        <f t="shared" si="24"/>
        <v>22000</v>
      </c>
      <c r="P192" s="44">
        <f>(B192-B191)*T191^3/12+(B192-B191)*T191*(T191/2-P189)^2+(B192-B191)*(T192-T191)^3/36+(B192-B191)*(T192-T191)/2*(T191+(T192-T191)/3-P189)^2</f>
        <v>1872845.3333333333</v>
      </c>
      <c r="Q192" s="44">
        <f t="shared" si="25"/>
        <v>209000</v>
      </c>
      <c r="R192" s="44">
        <f>T191*(B192-B191)^3/12+T191*(B192-B191)*(B191+(B192-B191)/2-I224)^2+(T192-T191)*(B192-B191)^3/36+(T192-T191)/2*(B192-B191)*(B191+2/3*(B192-B191)-I224)^2</f>
        <v>22073333.333333332</v>
      </c>
      <c r="S192" s="213">
        <f t="shared" si="26"/>
        <v>2090000</v>
      </c>
      <c r="T192" s="44">
        <f t="shared" si="20"/>
        <v>20</v>
      </c>
      <c r="U192" s="67">
        <v>1</v>
      </c>
      <c r="V192" s="67">
        <f>IF(AND(W192=W190,B192=B190),A,1)</f>
        <v>1</v>
      </c>
      <c r="W192" s="44">
        <f>(A192-A190)</f>
        <v>20</v>
      </c>
    </row>
    <row r="193" spans="1:23" x14ac:dyDescent="0.2">
      <c r="A193" s="211">
        <f>A109</f>
        <v>-35</v>
      </c>
      <c r="B193" s="211">
        <f>B109</f>
        <v>165</v>
      </c>
      <c r="L193" s="44">
        <f t="shared" si="21"/>
        <v>10</v>
      </c>
      <c r="M193" s="44">
        <f t="shared" si="22"/>
        <v>15</v>
      </c>
      <c r="N193" s="44">
        <f t="shared" si="23"/>
        <v>150</v>
      </c>
      <c r="O193" s="44">
        <f t="shared" si="24"/>
        <v>1000.0000000000002</v>
      </c>
      <c r="P193" s="44">
        <f>(B193-B192)*T192^3/12+(B193-B192)*T192*(T192/2-P189)^2+(B193-B192)*(T193-T192)^3/36+(B193-B192)*(T193-T192)/2*(T192+(T193-T192)/3-P189)^2</f>
        <v>156293.99999999997</v>
      </c>
      <c r="Q193" s="44">
        <f t="shared" si="25"/>
        <v>23250</v>
      </c>
      <c r="R193" s="44">
        <f>T192*(B193-B192)^3/12+T192*(B193-B192)*(B192+(B193-B192)/2-I224)^2+(T193-T192)*(B193-B192)^3/36+(T193-T192)/2*(B193-B192)*(B192+2/3*(B193-B192)-I224)^2</f>
        <v>3605625</v>
      </c>
      <c r="S193" s="213">
        <f t="shared" si="26"/>
        <v>152500.00000000006</v>
      </c>
      <c r="T193" s="44">
        <f t="shared" si="20"/>
        <v>0</v>
      </c>
      <c r="U193" s="67">
        <f t="shared" ref="U193:U219" si="27">IF(OR(U192=0,V193="A"),0,1)</f>
        <v>1</v>
      </c>
      <c r="V193" s="67">
        <f>IF(AND(W193=W190,B193=B190),A,1)</f>
        <v>1</v>
      </c>
      <c r="W193" s="44">
        <f>(A193-A190)</f>
        <v>0</v>
      </c>
    </row>
    <row r="194" spans="1:23" x14ac:dyDescent="0.2">
      <c r="A194" s="211">
        <f>A190</f>
        <v>-35</v>
      </c>
      <c r="B194" s="211">
        <f>B190</f>
        <v>25</v>
      </c>
      <c r="L194" s="44">
        <f t="shared" si="21"/>
        <v>0</v>
      </c>
      <c r="M194" s="44">
        <f t="shared" si="22"/>
        <v>-140</v>
      </c>
      <c r="N194" s="44">
        <f t="shared" si="23"/>
        <v>0</v>
      </c>
      <c r="O194" s="44">
        <f t="shared" si="24"/>
        <v>0</v>
      </c>
      <c r="P194" s="44">
        <f>(B194-B193)*T193^3/12+(B194-B193)*T193*(T193/2-P189)^2+(B194-B193)*(T194-T193)^3/36+(B194-B193)*(T194-T193)/2*(T193+(T194-T193)/3-P189)^2</f>
        <v>0</v>
      </c>
      <c r="Q194" s="44">
        <f t="shared" si="25"/>
        <v>0</v>
      </c>
      <c r="R194" s="44">
        <f>T193*(B194-B193)^3/12+T193*(B194-B193)*(B193+(B194-B193)/2-I224)^2+(T194-T193)*(B194-B193)^3/36+(T194-T193)/2*(B194-B193)*(B193+2/3*(B194-B193)-I224)^2</f>
        <v>0</v>
      </c>
      <c r="S194" s="213">
        <f t="shared" si="26"/>
        <v>0</v>
      </c>
      <c r="T194" s="44">
        <f t="shared" si="20"/>
        <v>0</v>
      </c>
      <c r="U194" s="67">
        <f t="shared" si="27"/>
        <v>0</v>
      </c>
      <c r="V194" s="67" t="str">
        <f>IF(AND(W194=W190,B194=B190),"A",1)</f>
        <v>A</v>
      </c>
      <c r="W194" s="44">
        <f>(A194-A190)</f>
        <v>0</v>
      </c>
    </row>
    <row r="195" spans="1:23" x14ac:dyDescent="0.2">
      <c r="A195" s="211"/>
      <c r="B195" s="211"/>
      <c r="L195" s="44">
        <f t="shared" si="21"/>
        <v>0</v>
      </c>
      <c r="M195" s="44">
        <f t="shared" si="22"/>
        <v>-25</v>
      </c>
      <c r="N195" s="44">
        <f t="shared" si="23"/>
        <v>0</v>
      </c>
      <c r="O195" s="44">
        <f t="shared" si="24"/>
        <v>0</v>
      </c>
      <c r="P195" s="44">
        <f>(B195-B194)*T194^3/12+(B195-B194)*T194*(T194/2-P189)^2+(B195-B194)*(T195-T194)^3/36+(B195-B194)*(T195-T194)/2*(T194+(T195-T194)/3-P189)^2</f>
        <v>0</v>
      </c>
      <c r="Q195" s="44">
        <f t="shared" si="25"/>
        <v>0</v>
      </c>
      <c r="R195" s="44">
        <f>T194*(B195-B194)^3/12+T194*(B195-B194)*(B194+(B195-B194)/2-I224)^2+(T195-T194)*(B195-B194)^3/36+(T195-T194)/2*(B195-B194)*(B194+2/3*(B195-B194)-I224)^2</f>
        <v>0</v>
      </c>
      <c r="S195" s="213">
        <f t="shared" si="26"/>
        <v>0</v>
      </c>
      <c r="T195" s="44">
        <f t="shared" si="20"/>
        <v>0</v>
      </c>
      <c r="U195" s="67">
        <f t="shared" si="27"/>
        <v>0</v>
      </c>
      <c r="V195" s="67">
        <f>IF(AND(W195=W190,B195=B190),"A",1)</f>
        <v>1</v>
      </c>
      <c r="W195" s="44">
        <f>(A195-A190)</f>
        <v>35</v>
      </c>
    </row>
    <row r="196" spans="1:23" x14ac:dyDescent="0.2">
      <c r="A196" s="211">
        <f>-A190</f>
        <v>35</v>
      </c>
      <c r="B196" s="211">
        <f>B190</f>
        <v>25</v>
      </c>
      <c r="L196" s="44">
        <f t="shared" si="21"/>
        <v>0</v>
      </c>
      <c r="M196" s="44">
        <f t="shared" si="22"/>
        <v>25</v>
      </c>
      <c r="N196" s="44">
        <f t="shared" si="23"/>
        <v>0</v>
      </c>
      <c r="O196" s="44">
        <f t="shared" si="24"/>
        <v>0</v>
      </c>
      <c r="P196" s="44">
        <f>(B196-B195)*T195^3/12+(B196-B195)*T195*(T195/2-P189)^2+(B196-B195)*(T196-T195)^3/36+(B196-B195)*(T196-T195)/2*(T195+(T196-T195)/3-P189)^2</f>
        <v>0</v>
      </c>
      <c r="Q196" s="44">
        <f t="shared" si="25"/>
        <v>0</v>
      </c>
      <c r="R196" s="44">
        <f>T195*(B196-B195)^3/12+T195*(B196-B195)*(B195+(B196-B195)/2-I224)^2+(T196-T195)*(B196-B195)^3/36+(T196-T195)/2*(B196-B195)*(B195+2/3*(B196-B195)-I224)^2</f>
        <v>0</v>
      </c>
      <c r="S196" s="213">
        <f t="shared" si="26"/>
        <v>0</v>
      </c>
      <c r="T196" s="44">
        <f t="shared" si="20"/>
        <v>0</v>
      </c>
      <c r="U196" s="67">
        <f t="shared" si="27"/>
        <v>0</v>
      </c>
      <c r="V196" s="67">
        <f>IF(AND(W196=W190,B196=B190),"A",1)</f>
        <v>1</v>
      </c>
      <c r="W196" s="44">
        <f>(A196-A190)</f>
        <v>70</v>
      </c>
    </row>
    <row r="197" spans="1:23" x14ac:dyDescent="0.2">
      <c r="A197" s="211">
        <f>-A191</f>
        <v>15</v>
      </c>
      <c r="B197" s="211">
        <f>B191</f>
        <v>40</v>
      </c>
      <c r="L197" s="44">
        <f t="shared" si="21"/>
        <v>0</v>
      </c>
      <c r="M197" s="44">
        <f t="shared" si="22"/>
        <v>15</v>
      </c>
      <c r="N197" s="44">
        <f t="shared" si="23"/>
        <v>0</v>
      </c>
      <c r="O197" s="44">
        <f t="shared" si="24"/>
        <v>0</v>
      </c>
      <c r="P197" s="44">
        <f>(B197-B196)*T196^3/12+(B197-B196)*T196*(T196/2-P189)^2+(B197-B196)*(T197-T196)^3/36+(B197-B196)*(T197-T196)/2*(T196+(T197-T196)/3-P189)^2</f>
        <v>0</v>
      </c>
      <c r="Q197" s="44">
        <f t="shared" si="25"/>
        <v>0</v>
      </c>
      <c r="R197" s="44">
        <f>T196*(B197-B196)^3/12+T196*(B197-B196)*(B196+(B197-B196)/2-I224)^2+(T197-T196)*(B197-B196)^3/36+(T197-T196)/2*(B197-B196)*(B196+2/3*(B197-B196)-I224)^2</f>
        <v>0</v>
      </c>
      <c r="S197" s="213">
        <f t="shared" si="26"/>
        <v>0</v>
      </c>
      <c r="T197" s="44">
        <f t="shared" si="20"/>
        <v>0</v>
      </c>
      <c r="U197" s="67">
        <f t="shared" si="27"/>
        <v>0</v>
      </c>
      <c r="V197" s="67">
        <f>IF(AND(W197=W190,B197=B190),"A",1)</f>
        <v>1</v>
      </c>
      <c r="W197" s="214">
        <f>(A197-A190)</f>
        <v>50</v>
      </c>
    </row>
    <row r="198" spans="1:23" x14ac:dyDescent="0.2">
      <c r="A198" s="211">
        <f>-A192</f>
        <v>15</v>
      </c>
      <c r="B198" s="211">
        <f>B192</f>
        <v>150</v>
      </c>
      <c r="L198" s="44">
        <f t="shared" si="21"/>
        <v>0</v>
      </c>
      <c r="M198" s="44">
        <f t="shared" si="22"/>
        <v>110</v>
      </c>
      <c r="N198" s="44">
        <f t="shared" si="23"/>
        <v>0</v>
      </c>
      <c r="O198" s="44">
        <f t="shared" si="24"/>
        <v>0</v>
      </c>
      <c r="P198" s="44">
        <f>(B198-B197)*T197^3/12+(B198-B197)*T197*(T197/2-P189)^2+(B198-B197)*(T198-T197)^3/36+(B198-B197)*(T198-T197)/2*(T197+(T198-T197)/3-P189)^2</f>
        <v>0</v>
      </c>
      <c r="Q198" s="44">
        <f t="shared" si="25"/>
        <v>0</v>
      </c>
      <c r="R198" s="44">
        <f>T197*(B198-B197)^3/12+T197*(B198-B197)*(B197+(B198-B197)/2-I224)^2+(T198-T197)*(B198-B197)^3/36+(T198-T197)/2*(B198-B197)*(B197+2/3*(B198-B197)-I224)^2</f>
        <v>0</v>
      </c>
      <c r="S198" s="213">
        <f t="shared" si="26"/>
        <v>0</v>
      </c>
      <c r="T198" s="44">
        <f t="shared" si="20"/>
        <v>0</v>
      </c>
      <c r="U198" s="67">
        <f t="shared" si="27"/>
        <v>0</v>
      </c>
      <c r="V198" s="67">
        <f>IF(AND(W198=W190,B198=B190),"A",1)</f>
        <v>1</v>
      </c>
      <c r="W198" s="44">
        <f>(A198-A190)</f>
        <v>50</v>
      </c>
    </row>
    <row r="199" spans="1:23" x14ac:dyDescent="0.2">
      <c r="A199" s="211">
        <f>-A193</f>
        <v>35</v>
      </c>
      <c r="B199" s="211">
        <f>B193</f>
        <v>165</v>
      </c>
      <c r="L199" s="44">
        <f t="shared" si="21"/>
        <v>0</v>
      </c>
      <c r="M199" s="44">
        <f t="shared" si="22"/>
        <v>15</v>
      </c>
      <c r="N199" s="44">
        <f t="shared" si="23"/>
        <v>0</v>
      </c>
      <c r="O199" s="44">
        <f t="shared" si="24"/>
        <v>0</v>
      </c>
      <c r="P199" s="44">
        <f>(B199-B198)*T198^3/12+(B199-B198)*T198*(T198/2-P189)^2+(B199-B198)*(T199-T198)^3/36+(B199-B198)*(T199-T198)/2*(T198+(T199-T198)/3-P189)^2</f>
        <v>0</v>
      </c>
      <c r="Q199" s="44">
        <f t="shared" si="25"/>
        <v>0</v>
      </c>
      <c r="R199" s="44">
        <f>T198*(B199-B198)^3/12+T198*(B199-B198)*(B198+(B199-B198)/2-I224)^2+(T199-T198)*(B199-B198)^3/36+(T199-T198)/2*(B199-B198)*(B198+2/3*(B199-B198)-I224)^2</f>
        <v>0</v>
      </c>
      <c r="S199" s="213">
        <f t="shared" si="26"/>
        <v>0</v>
      </c>
      <c r="T199" s="44">
        <f t="shared" si="20"/>
        <v>0</v>
      </c>
      <c r="U199" s="67">
        <f t="shared" si="27"/>
        <v>0</v>
      </c>
      <c r="V199" s="67">
        <f>IF(AND(W199=W190,B199=B190),"A",1)</f>
        <v>1</v>
      </c>
      <c r="W199" s="44">
        <f>(A199-A190)</f>
        <v>70</v>
      </c>
    </row>
    <row r="200" spans="1:23" x14ac:dyDescent="0.2">
      <c r="A200" s="211">
        <f>-A194</f>
        <v>35</v>
      </c>
      <c r="B200" s="211">
        <f>B194</f>
        <v>25</v>
      </c>
      <c r="L200" s="44">
        <f t="shared" si="21"/>
        <v>0</v>
      </c>
      <c r="M200" s="44">
        <f t="shared" si="22"/>
        <v>-140</v>
      </c>
      <c r="N200" s="44">
        <f t="shared" si="23"/>
        <v>0</v>
      </c>
      <c r="O200" s="44">
        <f t="shared" si="24"/>
        <v>0</v>
      </c>
      <c r="P200" s="44">
        <f>(B200-B199)*T199^3/12+(B200-B199)*T199*(T199/2-P189)^2+(B200-B199)*(T200-T199)^3/36+(B200-B199)*(T200-T199)/2*(T199+(T200-T199)/3-P189)^2</f>
        <v>0</v>
      </c>
      <c r="Q200" s="44">
        <f t="shared" si="25"/>
        <v>0</v>
      </c>
      <c r="R200" s="44">
        <f>T199*(B200-B199)^3/12+T199*(B200-B199)*(B199+(B200-B199)/2-I224)^2+(T200-T199)*(B200-B199)^3/36+(T200-T199)/2*(B200-B199)*(B199+2/3*(B200-B199)-I224)^2</f>
        <v>0</v>
      </c>
      <c r="S200" s="213">
        <f t="shared" si="26"/>
        <v>0</v>
      </c>
      <c r="T200" s="44">
        <f t="shared" si="20"/>
        <v>0</v>
      </c>
      <c r="U200" s="67">
        <f t="shared" si="27"/>
        <v>0</v>
      </c>
      <c r="V200" s="67">
        <f>IF(AND(W200=W190,B200=B190),"A",1)</f>
        <v>1</v>
      </c>
      <c r="W200" s="44">
        <f>(A200-A190)</f>
        <v>70</v>
      </c>
    </row>
    <row r="201" spans="1:23" hidden="1" x14ac:dyDescent="0.2">
      <c r="A201" s="211"/>
      <c r="B201" s="211"/>
      <c r="L201" s="44">
        <f t="shared" si="21"/>
        <v>0</v>
      </c>
      <c r="M201" s="44">
        <f t="shared" si="22"/>
        <v>-25</v>
      </c>
      <c r="N201" s="44">
        <f t="shared" si="23"/>
        <v>0</v>
      </c>
      <c r="O201" s="44">
        <f t="shared" si="24"/>
        <v>0</v>
      </c>
      <c r="P201" s="44">
        <f>(B201-B200)*T200^3/12+(B201-B200)*T200*(T200/2-P189)^2+(B201-B200)*(T201-T200)^3/36+(B201-B200)*(T201-T200)/2*(T200+(T201-T200)/3-P189)^2</f>
        <v>0</v>
      </c>
      <c r="Q201" s="44">
        <f t="shared" si="25"/>
        <v>0</v>
      </c>
      <c r="R201" s="44">
        <f>T200*(B201-B200)^3/12+T200*(B201-B200)*(B200+(B201-B200)/2-I224)^2+(T201-T200)*(B201-B200)^3/36+(T201-T200)/2*(B201-B200)*(B200+2/3*(B201-B200)-I224)^2</f>
        <v>0</v>
      </c>
      <c r="S201" s="213">
        <f t="shared" si="26"/>
        <v>0</v>
      </c>
      <c r="T201" s="44">
        <f t="shared" si="20"/>
        <v>0</v>
      </c>
      <c r="U201" s="67">
        <f t="shared" si="27"/>
        <v>0</v>
      </c>
      <c r="V201" s="67">
        <f>IF(AND(W201=W190,B201=B190),"A",1)</f>
        <v>1</v>
      </c>
      <c r="W201" s="44">
        <f>(A201-A190)</f>
        <v>35</v>
      </c>
    </row>
    <row r="202" spans="1:23" hidden="1" x14ac:dyDescent="0.2">
      <c r="A202" s="211"/>
      <c r="B202" s="211"/>
      <c r="L202" s="44">
        <f t="shared" si="21"/>
        <v>0</v>
      </c>
      <c r="M202" s="44">
        <f t="shared" si="22"/>
        <v>0</v>
      </c>
      <c r="N202" s="44">
        <f t="shared" si="23"/>
        <v>0</v>
      </c>
      <c r="O202" s="44">
        <f t="shared" si="24"/>
        <v>0</v>
      </c>
      <c r="P202" s="44">
        <f>(B202-B201)*T201^3/12+(B202-B201)*T201*(T201/2-P189)^2+(B202-B201)*(T202-T201)^3/36+(B202-B201)*(T202-T201)/2*(T201+(T202-T201)/3-P189)^2</f>
        <v>0</v>
      </c>
      <c r="Q202" s="44">
        <f t="shared" si="25"/>
        <v>0</v>
      </c>
      <c r="R202" s="44">
        <f>T201*(B202-B201)^3/12+T201*(B202-B201)*(B201+(B202-B201)/2-I224)^2+(T202-T201)*(B202-B201)^3/36+(T202-T201)/2*(B202-B201)*(B201+2/3*(B202-B201)-I224)^2</f>
        <v>0</v>
      </c>
      <c r="S202" s="213">
        <f t="shared" si="26"/>
        <v>0</v>
      </c>
      <c r="T202" s="44">
        <f t="shared" si="20"/>
        <v>0</v>
      </c>
      <c r="U202" s="67">
        <f t="shared" si="27"/>
        <v>0</v>
      </c>
      <c r="V202" s="67">
        <f>IF(AND(W202=W190,B202=B190),"A",1)</f>
        <v>1</v>
      </c>
      <c r="W202" s="44">
        <f>(A202-A190)</f>
        <v>35</v>
      </c>
    </row>
    <row r="203" spans="1:23" hidden="1" x14ac:dyDescent="0.2">
      <c r="A203" s="211"/>
      <c r="B203" s="211"/>
      <c r="L203" s="44">
        <f t="shared" si="21"/>
        <v>0</v>
      </c>
      <c r="M203" s="44">
        <f t="shared" si="22"/>
        <v>0</v>
      </c>
      <c r="N203" s="44">
        <f t="shared" si="23"/>
        <v>0</v>
      </c>
      <c r="O203" s="44">
        <f t="shared" si="24"/>
        <v>0</v>
      </c>
      <c r="P203" s="44">
        <f>(B203-B202)*T202^3/12+(B203-B202)*T202*(T202/2-P189)^2+(B203-B202)*(T203-T202)^3/36+(B203-B202)*(T203-T202)/2*(T202+(T203-T202)/3-P189)^2</f>
        <v>0</v>
      </c>
      <c r="Q203" s="44">
        <f t="shared" si="25"/>
        <v>0</v>
      </c>
      <c r="R203" s="44">
        <f>T202*(B203-B202)^3/12+T202*(B203-B202)*(B202+(B203-B202)/2-I224)^2+(T203-T202)*(B203-B202)^3/36+(T203-T202)/2*(B203-B202)*(B202+2/3*(B203-B202)-I224)^2</f>
        <v>0</v>
      </c>
      <c r="S203" s="213">
        <f t="shared" si="26"/>
        <v>0</v>
      </c>
      <c r="T203" s="44">
        <f t="shared" si="20"/>
        <v>0</v>
      </c>
      <c r="U203" s="67">
        <f t="shared" si="27"/>
        <v>0</v>
      </c>
      <c r="V203" s="67">
        <f>IF(AND(W203=W190,B203=B190),"A",1)</f>
        <v>1</v>
      </c>
      <c r="W203" s="44">
        <f>(A203-A190)</f>
        <v>35</v>
      </c>
    </row>
    <row r="204" spans="1:23" hidden="1" x14ac:dyDescent="0.2">
      <c r="A204" s="211"/>
      <c r="B204" s="211"/>
      <c r="L204" s="44">
        <f t="shared" si="21"/>
        <v>0</v>
      </c>
      <c r="M204" s="44">
        <f t="shared" si="22"/>
        <v>0</v>
      </c>
      <c r="N204" s="44">
        <f t="shared" si="23"/>
        <v>0</v>
      </c>
      <c r="O204" s="44">
        <f t="shared" si="24"/>
        <v>0</v>
      </c>
      <c r="P204" s="44">
        <f>(B204-B203)*T203^3/12+(B204-B203)*T203*(T203/2-P189)^2+(B204-B203)*(T204-T203)^3/36+(B204-B203)*(T204-T203)/2*(T203+(T204-T203)/3-P189)^2</f>
        <v>0</v>
      </c>
      <c r="Q204" s="44">
        <f t="shared" si="25"/>
        <v>0</v>
      </c>
      <c r="R204" s="44">
        <f>T203*(B204-B203)^3/12+T203*(B204-B203)*(B203+(B204-B203)/2-I224)^2+(T204-T203)*(B204-B203)^3/36+(T204-T203)/2*(B204-B203)*(B203+2/3*(B204-B203)-I224)^2</f>
        <v>0</v>
      </c>
      <c r="S204" s="213">
        <f t="shared" si="26"/>
        <v>0</v>
      </c>
      <c r="T204" s="44">
        <f t="shared" si="20"/>
        <v>0</v>
      </c>
      <c r="U204" s="67">
        <f t="shared" si="27"/>
        <v>0</v>
      </c>
      <c r="V204" s="67">
        <f>IF(AND(W204=W190,B204=B190),"A",1)</f>
        <v>1</v>
      </c>
      <c r="W204" s="44">
        <f>(A204-A190)</f>
        <v>35</v>
      </c>
    </row>
    <row r="205" spans="1:23" hidden="1" x14ac:dyDescent="0.2">
      <c r="A205" s="211"/>
      <c r="B205" s="216"/>
      <c r="L205" s="44">
        <f t="shared" si="21"/>
        <v>0</v>
      </c>
      <c r="M205" s="44">
        <f t="shared" si="22"/>
        <v>0</v>
      </c>
      <c r="N205" s="44">
        <f t="shared" si="23"/>
        <v>0</v>
      </c>
      <c r="O205" s="44">
        <f t="shared" si="24"/>
        <v>0</v>
      </c>
      <c r="P205" s="44">
        <f>(B205-B204)*T204^3/12+(B205-B204)*T204*(T204/2-P189)^2+(B205-B204)*(T205-T204)^3/36+(B205-B204)*(T205-T204)/2*(T204+(T205-T204)/3-P189)^2</f>
        <v>0</v>
      </c>
      <c r="Q205" s="44">
        <f t="shared" si="25"/>
        <v>0</v>
      </c>
      <c r="R205" s="44">
        <f>T204*(B205-B204)^3/12+T204*(B205-B204)*(B204+(B205-B204)/2-I224)^2+(T205-T204)*(B205-B204)^3/36+(T205-T204)/2*(B205-B204)*(B204+2/3*(B205-B204)-I224)^2</f>
        <v>0</v>
      </c>
      <c r="S205" s="213">
        <f t="shared" si="26"/>
        <v>0</v>
      </c>
      <c r="T205" s="44">
        <f t="shared" si="20"/>
        <v>0</v>
      </c>
      <c r="U205" s="67">
        <f t="shared" si="27"/>
        <v>0</v>
      </c>
      <c r="V205" s="67">
        <f>IF(AND(W205=W190,B205=B190),"A",1)</f>
        <v>1</v>
      </c>
      <c r="W205" s="44">
        <f>(A205-A190)</f>
        <v>35</v>
      </c>
    </row>
    <row r="206" spans="1:23" hidden="1" x14ac:dyDescent="0.2">
      <c r="A206" s="216"/>
      <c r="B206" s="216"/>
      <c r="L206" s="44">
        <f t="shared" si="21"/>
        <v>0</v>
      </c>
      <c r="M206" s="44">
        <f t="shared" si="22"/>
        <v>0</v>
      </c>
      <c r="N206" s="44">
        <f t="shared" si="23"/>
        <v>0</v>
      </c>
      <c r="O206" s="44">
        <f t="shared" si="24"/>
        <v>0</v>
      </c>
      <c r="P206" s="44">
        <f>(B206-B205)*T205^3/12+(B206-B205)*T205*(T205/2-P189)^2+(B206-B205)*(T206-T205)^3/36+(B206-B205)*(T206-T205)/2*(T205+(T206-T205)/3-P189)^2</f>
        <v>0</v>
      </c>
      <c r="Q206" s="44">
        <f t="shared" si="25"/>
        <v>0</v>
      </c>
      <c r="R206" s="44">
        <f>T205*(B206-B205)^3/12+T205*(B206-B205)*(B205+(B206-B205)/2-I224)^2+(T206-T205)*(B206-B205)^3/36+(T206-T205)/2*(B206-B205)*(B205+2/3*(B206-B205)-I224)^2</f>
        <v>0</v>
      </c>
      <c r="S206" s="213">
        <f t="shared" si="26"/>
        <v>0</v>
      </c>
      <c r="T206" s="44">
        <f t="shared" si="20"/>
        <v>0</v>
      </c>
      <c r="U206" s="67">
        <f t="shared" si="27"/>
        <v>0</v>
      </c>
      <c r="V206" s="67">
        <f>IF(AND(W206=W190,B206=B190),"A",1)</f>
        <v>1</v>
      </c>
      <c r="W206" s="44">
        <f>(A206-A190)</f>
        <v>35</v>
      </c>
    </row>
    <row r="207" spans="1:23" hidden="1" x14ac:dyDescent="0.2">
      <c r="A207" s="216"/>
      <c r="B207" s="216"/>
      <c r="L207" s="44">
        <f t="shared" si="21"/>
        <v>0</v>
      </c>
      <c r="M207" s="44">
        <f t="shared" si="22"/>
        <v>0</v>
      </c>
      <c r="N207" s="44">
        <f t="shared" si="23"/>
        <v>0</v>
      </c>
      <c r="O207" s="44">
        <f t="shared" si="24"/>
        <v>0</v>
      </c>
      <c r="P207" s="44">
        <f>(B207-B206)*T206^3/12+(B207-B206)*T206*(T206/2-P189)^2+(B207-B206)*(T207-T206)^3/36+(B207-B206)*(T207-T206)/2*(T206+(T207-T206)/3-P189)^2</f>
        <v>0</v>
      </c>
      <c r="Q207" s="44">
        <f t="shared" si="25"/>
        <v>0</v>
      </c>
      <c r="R207" s="44">
        <f>T206*(B207-B206)^3/12+T206*(B207-B206)*(B206+(B207-B206)/2-I224)^2+(T207-T206)*(B207-B206)^3/36+(T207-T206)/2*(B207-B206)*(B206+2/3*(B207-B206)-I224)^2</f>
        <v>0</v>
      </c>
      <c r="S207" s="213">
        <f t="shared" si="26"/>
        <v>0</v>
      </c>
      <c r="T207" s="44">
        <f t="shared" si="20"/>
        <v>0</v>
      </c>
      <c r="U207" s="67">
        <f t="shared" si="27"/>
        <v>0</v>
      </c>
      <c r="V207" s="67">
        <f>IF(AND(W207=W190,B207=B190),"A",1)</f>
        <v>1</v>
      </c>
      <c r="W207" s="44">
        <f>(A207-A190)</f>
        <v>35</v>
      </c>
    </row>
    <row r="208" spans="1:23" hidden="1" x14ac:dyDescent="0.2">
      <c r="A208" s="211"/>
      <c r="B208" s="216"/>
      <c r="L208" s="44">
        <f t="shared" si="21"/>
        <v>0</v>
      </c>
      <c r="M208" s="44">
        <f t="shared" si="22"/>
        <v>0</v>
      </c>
      <c r="N208" s="44">
        <f t="shared" si="23"/>
        <v>0</v>
      </c>
      <c r="O208" s="44">
        <f t="shared" si="24"/>
        <v>0</v>
      </c>
      <c r="P208" s="44">
        <f>(B208-B207)*T207^3/12+(B208-B207)*T207*(T207/2-P189)^2+(B208-B207)*(T208-T207)^3/36+(B208-B207)*(T208-T207)/2*(T207+(T208-T207)/3-P189)^2</f>
        <v>0</v>
      </c>
      <c r="Q208" s="44">
        <f t="shared" si="25"/>
        <v>0</v>
      </c>
      <c r="R208" s="44">
        <f>T207*(B208-B207)^3/12+T207*(B208-B207)*(B207+(B208-B207)/2-I224)^2+(T208-T207)*(B208-B207)^3/36+(T208-T207)/2*(B208-B207)*(B207+2/3*(B208-B207)-I224)^2</f>
        <v>0</v>
      </c>
      <c r="S208" s="213">
        <f t="shared" si="26"/>
        <v>0</v>
      </c>
      <c r="T208" s="44">
        <f t="shared" si="20"/>
        <v>0</v>
      </c>
      <c r="U208" s="67">
        <f t="shared" si="27"/>
        <v>0</v>
      </c>
      <c r="V208" s="67">
        <f>IF(AND(W208=W190,B208=B190),"A",1)</f>
        <v>1</v>
      </c>
      <c r="W208" s="44">
        <f>(A208-A190)</f>
        <v>35</v>
      </c>
    </row>
    <row r="209" spans="1:23" hidden="1" x14ac:dyDescent="0.2">
      <c r="A209" s="216"/>
      <c r="B209" s="216"/>
      <c r="L209" s="44">
        <f t="shared" si="21"/>
        <v>0</v>
      </c>
      <c r="M209" s="44">
        <f t="shared" si="22"/>
        <v>0</v>
      </c>
      <c r="N209" s="44">
        <f t="shared" si="23"/>
        <v>0</v>
      </c>
      <c r="O209" s="44">
        <f t="shared" si="24"/>
        <v>0</v>
      </c>
      <c r="P209" s="44">
        <f>(B209-B208)*T208^3/12+(B209-B208)*T208*(T208/2-P189)^2+(B209-B208)*(T209-T208)^3/36+(B209-B208)*(T209-T208)/2*(T208+(T209-T208)/3-P189)^2</f>
        <v>0</v>
      </c>
      <c r="Q209" s="44">
        <f t="shared" si="25"/>
        <v>0</v>
      </c>
      <c r="R209" s="44">
        <f>T208*(B209-B208)^3/12+T208*(B209-B208)*(B208+(B209-B208)/2-I224)^2+(T209-T208)*(B209-B208)^3/36+(T209-T208)/2*(B209-B208)*(B208+2/3*(B209-B208)-I224)^2</f>
        <v>0</v>
      </c>
      <c r="S209" s="213">
        <f t="shared" si="26"/>
        <v>0</v>
      </c>
      <c r="T209" s="44">
        <f t="shared" si="20"/>
        <v>0</v>
      </c>
      <c r="U209" s="67">
        <f t="shared" si="27"/>
        <v>0</v>
      </c>
      <c r="V209" s="67">
        <f>IF(AND(W209=W190,B209=B190),"A",1)</f>
        <v>1</v>
      </c>
      <c r="W209" s="44">
        <f>(A209-A190)</f>
        <v>35</v>
      </c>
    </row>
    <row r="210" spans="1:23" hidden="1" x14ac:dyDescent="0.2">
      <c r="A210" s="211"/>
      <c r="B210" s="216"/>
      <c r="L210" s="44">
        <f t="shared" si="21"/>
        <v>0</v>
      </c>
      <c r="M210" s="44">
        <f t="shared" si="22"/>
        <v>0</v>
      </c>
      <c r="N210" s="44">
        <f t="shared" si="23"/>
        <v>0</v>
      </c>
      <c r="O210" s="44">
        <f t="shared" si="24"/>
        <v>0</v>
      </c>
      <c r="P210" s="44">
        <f>(B210-B209)*T209^3/12+(B210-B209)*T209*(T209/2-P189)^2+(B210-B209)*(T210-T209)^3/36+(B210-B209)*(T210-T209)/2*(T209+(T210-T209)/3-P189)^2</f>
        <v>0</v>
      </c>
      <c r="Q210" s="44">
        <f t="shared" si="25"/>
        <v>0</v>
      </c>
      <c r="R210" s="44">
        <f>T209*(B210-B209)^3/12+T209*(B210-B209)*(B209+(B210-B209)/2-I224)^2+(T210-T209)*(B210-B209)^3/36+(T210-T209)/2*(B210-B209)*(B209+2/3*(B210-B209)-I224)^2</f>
        <v>0</v>
      </c>
      <c r="S210" s="213">
        <f t="shared" si="26"/>
        <v>0</v>
      </c>
      <c r="T210" s="44">
        <f t="shared" si="20"/>
        <v>0</v>
      </c>
      <c r="U210" s="67">
        <f t="shared" si="27"/>
        <v>0</v>
      </c>
      <c r="V210" s="67">
        <f>IF(AND(W210=W190,B210=B190),"A",1)</f>
        <v>1</v>
      </c>
      <c r="W210" s="44">
        <f>(A210-A190)</f>
        <v>35</v>
      </c>
    </row>
    <row r="211" spans="1:23" hidden="1" x14ac:dyDescent="0.2">
      <c r="A211" s="211"/>
      <c r="B211" s="216"/>
      <c r="L211" s="44">
        <f t="shared" si="21"/>
        <v>0</v>
      </c>
      <c r="M211" s="44">
        <f t="shared" si="22"/>
        <v>0</v>
      </c>
      <c r="N211" s="44">
        <f t="shared" si="23"/>
        <v>0</v>
      </c>
      <c r="O211" s="44">
        <f t="shared" si="24"/>
        <v>0</v>
      </c>
      <c r="P211" s="44">
        <f>(B211-B210)*T210^3/12+(B211-B210)*T210*(T210/2-P189)^2+(B211-B210)*(T211-T210)^3/36+(B211-B210)*(T211-T210)/2*(T210+(T211-T210)/3-P189)^2</f>
        <v>0</v>
      </c>
      <c r="Q211" s="44">
        <f t="shared" si="25"/>
        <v>0</v>
      </c>
      <c r="R211" s="44">
        <f>T210*(B211-B210)^3/12+T210*(B211-B210)*(B210+(B211-B210)/2-I224)^2+(T211-T210)*(B211-B210)^3/36+(T211-T210)/2*(B211-B210)*(B210+2/3*(B211-B210)-I224)^2</f>
        <v>0</v>
      </c>
      <c r="S211" s="213">
        <f t="shared" si="26"/>
        <v>0</v>
      </c>
      <c r="T211" s="44">
        <f t="shared" si="20"/>
        <v>0</v>
      </c>
      <c r="U211" s="67">
        <f t="shared" si="27"/>
        <v>0</v>
      </c>
      <c r="V211" s="67">
        <f>IF(AND(W211=W190,B211=B190),"A",1)</f>
        <v>1</v>
      </c>
      <c r="W211" s="44">
        <f>(A211-A190)</f>
        <v>35</v>
      </c>
    </row>
    <row r="212" spans="1:23" hidden="1" x14ac:dyDescent="0.2">
      <c r="A212" s="211"/>
      <c r="B212" s="216"/>
      <c r="L212" s="44">
        <f t="shared" si="21"/>
        <v>0</v>
      </c>
      <c r="M212" s="44">
        <f t="shared" si="22"/>
        <v>0</v>
      </c>
      <c r="N212" s="44">
        <f t="shared" si="23"/>
        <v>0</v>
      </c>
      <c r="O212" s="44">
        <f t="shared" si="24"/>
        <v>0</v>
      </c>
      <c r="P212" s="44">
        <f>(B212-B211)*T211^3/12+(B212-B211)*T211*(T211/2-P189)^2+(B212-B211)*(T212-T211)^3/36+(B212-B211)*(T212-T211)/2*(T211+(T212-T211)/3-P189)^2</f>
        <v>0</v>
      </c>
      <c r="Q212" s="44">
        <f t="shared" si="25"/>
        <v>0</v>
      </c>
      <c r="R212" s="44">
        <f>T211*(B212-B211)^3/12+T211*(B212-B211)*(B211+(B212-B211)/2-I224)^2+(T212-T211)*(B212-B211)^3/36+(T212-T211)/2*(B212-B211)*(B211+2/3*(B212-B211)-I224)^2</f>
        <v>0</v>
      </c>
      <c r="S212" s="213">
        <f t="shared" si="26"/>
        <v>0</v>
      </c>
      <c r="T212" s="44">
        <f t="shared" si="20"/>
        <v>0</v>
      </c>
      <c r="U212" s="67">
        <f t="shared" si="27"/>
        <v>0</v>
      </c>
      <c r="V212" s="67">
        <f>IF(AND(W212=W190,B212=B190),"A",1)</f>
        <v>1</v>
      </c>
      <c r="W212" s="44">
        <f>(A212-A190)</f>
        <v>35</v>
      </c>
    </row>
    <row r="213" spans="1:23" hidden="1" x14ac:dyDescent="0.2">
      <c r="A213" s="216"/>
      <c r="B213" s="216"/>
      <c r="L213" s="44">
        <f t="shared" si="21"/>
        <v>0</v>
      </c>
      <c r="M213" s="44">
        <f t="shared" si="22"/>
        <v>0</v>
      </c>
      <c r="N213" s="44">
        <f t="shared" si="23"/>
        <v>0</v>
      </c>
      <c r="O213" s="44">
        <f t="shared" si="24"/>
        <v>0</v>
      </c>
      <c r="P213" s="44">
        <f>(B213-B212)*T212^3/12+(B213-B212)*T212*(T212/2-P189)^2+(B213-B212)*(T213-T212)^3/36+(B213-B212)*(T213-T212)/2*(T212+(T213-T212)/3-P189)^2</f>
        <v>0</v>
      </c>
      <c r="Q213" s="44">
        <f t="shared" si="25"/>
        <v>0</v>
      </c>
      <c r="R213" s="44">
        <f>T212*(B213-B212)^3/12+T212*(B213-B212)*(B212+(B213-B212)/2-I224)^2+(T213-T212)*(B213-B212)^3/36+(T213-T212)/2*(B213-B212)*(B212+2/3*(B213-B212)-I224)^2</f>
        <v>0</v>
      </c>
      <c r="S213" s="213">
        <f t="shared" si="26"/>
        <v>0</v>
      </c>
      <c r="T213" s="44">
        <f t="shared" si="20"/>
        <v>0</v>
      </c>
      <c r="U213" s="67">
        <f t="shared" si="27"/>
        <v>0</v>
      </c>
      <c r="V213" s="67">
        <f>IF(AND(W213=W190,B213=B190),"A",1)</f>
        <v>1</v>
      </c>
      <c r="W213" s="44">
        <f>(A213-A190)</f>
        <v>35</v>
      </c>
    </row>
    <row r="214" spans="1:23" hidden="1" x14ac:dyDescent="0.2">
      <c r="A214" s="216"/>
      <c r="B214" s="216"/>
      <c r="L214" s="44">
        <f t="shared" si="21"/>
        <v>0</v>
      </c>
      <c r="M214" s="44">
        <f t="shared" si="22"/>
        <v>0</v>
      </c>
      <c r="N214" s="44">
        <f t="shared" si="23"/>
        <v>0</v>
      </c>
      <c r="O214" s="44">
        <f t="shared" si="24"/>
        <v>0</v>
      </c>
      <c r="P214" s="44">
        <f>(B214-B213)*T213^3/12+(B214-B213)*T213*(T213/2-P189)^2+(B214-B213)*(T214-T213)^3/36+(B214-B213)*(T214-T213)/2*(T213+(T214-T213)/3-P189)^2</f>
        <v>0</v>
      </c>
      <c r="Q214" s="44">
        <f t="shared" si="25"/>
        <v>0</v>
      </c>
      <c r="R214" s="44">
        <f>T213*(B214-B213)^3/12+T213*(B214-B213)*(B213+(B214-B213)/2-I224)^2+(T214-T213)*(B214-B213)^3/36+(T214-T213)/2*(B214-B213)*(B213+2/3*(B214-B213)-I224)^2</f>
        <v>0</v>
      </c>
      <c r="S214" s="213">
        <f t="shared" si="26"/>
        <v>0</v>
      </c>
      <c r="T214" s="44">
        <f t="shared" si="20"/>
        <v>0</v>
      </c>
      <c r="U214" s="67">
        <f t="shared" si="27"/>
        <v>0</v>
      </c>
      <c r="V214" s="67">
        <f>IF(AND(W214=W190,B214=B190),"A",1)</f>
        <v>1</v>
      </c>
      <c r="W214" s="44">
        <f>(A214-A190)</f>
        <v>35</v>
      </c>
    </row>
    <row r="215" spans="1:23" hidden="1" x14ac:dyDescent="0.2">
      <c r="A215" s="216"/>
      <c r="B215" s="216"/>
      <c r="L215" s="44">
        <f t="shared" si="21"/>
        <v>0</v>
      </c>
      <c r="M215" s="44">
        <f t="shared" si="22"/>
        <v>0</v>
      </c>
      <c r="N215" s="44">
        <f t="shared" si="23"/>
        <v>0</v>
      </c>
      <c r="O215" s="44">
        <f t="shared" si="24"/>
        <v>0</v>
      </c>
      <c r="P215" s="44">
        <f>(B215-B214)*T214^3/12+(B215-B214)*T214*(T214/2-P189)^2+(B215-B214)*(T215-T214)^3/36+(B215-B214)*(T215-T214)/2*(T214+(T215-T214)/3-P189)^2</f>
        <v>0</v>
      </c>
      <c r="Q215" s="44">
        <f t="shared" si="25"/>
        <v>0</v>
      </c>
      <c r="R215" s="44">
        <f>T214*(B215-B214)^3/12+T214*(B215-B214)*(B214+(B215-B214)/2-I224)^2+(T215-T214)*(B215-B214)^3/36+(T215-T214)/2*(B215-B214)*(B214+2/3*(B215-B214)-I224)^2</f>
        <v>0</v>
      </c>
      <c r="S215" s="213">
        <f t="shared" si="26"/>
        <v>0</v>
      </c>
      <c r="T215" s="44">
        <f t="shared" si="20"/>
        <v>0</v>
      </c>
      <c r="U215" s="67">
        <f t="shared" si="27"/>
        <v>0</v>
      </c>
      <c r="V215" s="67">
        <f>IF(AND(W215=W190,B215=B190),"A",1)</f>
        <v>1</v>
      </c>
      <c r="W215" s="44">
        <f>(A215-A190)</f>
        <v>35</v>
      </c>
    </row>
    <row r="216" spans="1:23" hidden="1" x14ac:dyDescent="0.2">
      <c r="A216" s="216"/>
      <c r="B216" s="216"/>
      <c r="L216" s="44">
        <f t="shared" si="21"/>
        <v>0</v>
      </c>
      <c r="M216" s="44">
        <f t="shared" si="22"/>
        <v>0</v>
      </c>
      <c r="N216" s="44">
        <f t="shared" si="23"/>
        <v>0</v>
      </c>
      <c r="O216" s="44">
        <f t="shared" si="24"/>
        <v>0</v>
      </c>
      <c r="P216" s="44">
        <f>(B216-B215)*T215^3/12+(B216-B215)*T215*(T215/2-P189)^2+(B216-B215)*(T216-T215)^3/36+(B216-B215)*(T216-T215)/2*(T215+(T216-T215)/3-P189)^2</f>
        <v>0</v>
      </c>
      <c r="Q216" s="44">
        <f t="shared" si="25"/>
        <v>0</v>
      </c>
      <c r="R216" s="44">
        <f>T215*(B216-B215)^3/12+T215*(B216-B215)*(B215+(B216-B215)/2-I224)^2+(T216-T215)*(B216-B215)^3/36+(T216-T215)/2*(B216-B215)*(B215+2/3*(B216-B215)-I224)^2</f>
        <v>0</v>
      </c>
      <c r="S216" s="213">
        <f t="shared" si="26"/>
        <v>0</v>
      </c>
      <c r="T216" s="44">
        <f t="shared" si="20"/>
        <v>0</v>
      </c>
      <c r="U216" s="67">
        <f t="shared" si="27"/>
        <v>0</v>
      </c>
      <c r="V216" s="67">
        <f>IF(AND(W216=W190,B216=B190),"A",1)</f>
        <v>1</v>
      </c>
      <c r="W216" s="44">
        <f>(A216-A190)</f>
        <v>35</v>
      </c>
    </row>
    <row r="217" spans="1:23" hidden="1" x14ac:dyDescent="0.2">
      <c r="A217" s="216"/>
      <c r="B217" s="216"/>
      <c r="L217" s="44">
        <f t="shared" si="21"/>
        <v>0</v>
      </c>
      <c r="M217" s="44">
        <f t="shared" si="22"/>
        <v>0</v>
      </c>
      <c r="N217" s="44">
        <f t="shared" si="23"/>
        <v>0</v>
      </c>
      <c r="O217" s="44">
        <f t="shared" si="24"/>
        <v>0</v>
      </c>
      <c r="P217" s="44">
        <f>(B217-B216)*T216^3/12+(B217-B216)*T216*(T216/2-P189)^2+(B217-B216)*(T217-T216)^3/36+(B217-B216)*(T217-T216)/2*(T216+(T217-T216)/3-P189)^2</f>
        <v>0</v>
      </c>
      <c r="Q217" s="44">
        <f t="shared" si="25"/>
        <v>0</v>
      </c>
      <c r="R217" s="44">
        <f>T216*(B217-B216)^3/12+T216*(B217-B216)*(B216+(B217-B216)/2-I224)^2+(T217-T216)*(B217-B216)^3/36+(T217-T216)/2*(B217-B216)*(B216+2/3*(B217-B216)-I224)^2</f>
        <v>0</v>
      </c>
      <c r="S217" s="213">
        <f t="shared" si="26"/>
        <v>0</v>
      </c>
      <c r="T217" s="44">
        <f t="shared" si="20"/>
        <v>0</v>
      </c>
      <c r="U217" s="67">
        <f t="shared" si="27"/>
        <v>0</v>
      </c>
      <c r="V217" s="67">
        <f>IF(AND(W217=W190,B217=B190),"A",1)</f>
        <v>1</v>
      </c>
      <c r="W217" s="44">
        <f>(A217-A190)</f>
        <v>35</v>
      </c>
    </row>
    <row r="218" spans="1:23" hidden="1" x14ac:dyDescent="0.2">
      <c r="A218" s="216"/>
      <c r="B218" s="216"/>
      <c r="L218" s="44">
        <f t="shared" si="21"/>
        <v>0</v>
      </c>
      <c r="M218" s="44">
        <f t="shared" si="22"/>
        <v>0</v>
      </c>
      <c r="N218" s="44">
        <f t="shared" si="23"/>
        <v>0</v>
      </c>
      <c r="O218" s="44">
        <f t="shared" si="24"/>
        <v>0</v>
      </c>
      <c r="P218" s="44">
        <f>(B218-B217)*T217^3/12+(B218-B217)*T217*(T217/2-P189)^2+(B218-B217)*(T218-T217)^3/36+(B218-B217)*(T218-T217)/2*(T217+(T218-T217)/3-P189)^2</f>
        <v>0</v>
      </c>
      <c r="Q218" s="44">
        <f t="shared" si="25"/>
        <v>0</v>
      </c>
      <c r="R218" s="44">
        <f>T217*(B218-B217)^3/12+T217*(B218-B217)*(B217+(B218-B217)/2-I224)^2+(T218-T217)*(B218-B217)^3/36+(T218-T217)/2*(B218-B217)*(B217+2/3*(B218-B217)-I224)^2</f>
        <v>0</v>
      </c>
      <c r="S218" s="213">
        <f t="shared" si="26"/>
        <v>0</v>
      </c>
      <c r="T218" s="44">
        <f t="shared" si="20"/>
        <v>0</v>
      </c>
      <c r="U218" s="67">
        <f t="shared" si="27"/>
        <v>0</v>
      </c>
      <c r="V218" s="67">
        <f>IF(AND(W218=W190,B218=B190),"A",1)</f>
        <v>1</v>
      </c>
      <c r="W218" s="44">
        <f>(A218-A190)</f>
        <v>35</v>
      </c>
    </row>
    <row r="219" spans="1:23" hidden="1" x14ac:dyDescent="0.2">
      <c r="A219" s="216"/>
      <c r="B219" s="216"/>
      <c r="L219" s="44">
        <f t="shared" si="21"/>
        <v>0</v>
      </c>
      <c r="M219" s="44">
        <f t="shared" si="22"/>
        <v>0</v>
      </c>
      <c r="N219" s="44">
        <f t="shared" si="23"/>
        <v>0</v>
      </c>
      <c r="O219" s="44">
        <f t="shared" si="24"/>
        <v>0</v>
      </c>
      <c r="P219" s="44">
        <f>(B219-B218)*T218^3/12+(B219-B218)*T218*(T218/2-P189)^2+(B219-B218)*(T219-T218)^3/36+(B219-B218)*(T219-T218)/2*(T218+(T219-T218)/3-P189)^2</f>
        <v>0</v>
      </c>
      <c r="Q219" s="44">
        <f t="shared" si="25"/>
        <v>0</v>
      </c>
      <c r="R219" s="44">
        <f>T218*(B219-B218)^3/12+T218*(B219-B218)*(B218+(B219-B218)/2-I224)^2+(T219-T218)*(B219-B218)^3/36+(T219-T218)/2*(B219-B218)*(B218+2/3*(B219-B218)-I224)^2</f>
        <v>0</v>
      </c>
      <c r="S219" s="213">
        <f t="shared" si="26"/>
        <v>0</v>
      </c>
      <c r="T219" s="44">
        <f t="shared" si="20"/>
        <v>0</v>
      </c>
      <c r="U219" s="67">
        <f t="shared" si="27"/>
        <v>0</v>
      </c>
      <c r="V219" s="67">
        <f>IF(AND(W219=W190,B219=B190),"A",1)</f>
        <v>1</v>
      </c>
      <c r="W219" s="44">
        <f>(A219-A190)</f>
        <v>35</v>
      </c>
    </row>
    <row r="220" spans="1:23" hidden="1" x14ac:dyDescent="0.2">
      <c r="N220" s="214">
        <f t="shared" ref="N220:S220" si="28">SUM(N191:N219)</f>
        <v>2500</v>
      </c>
      <c r="O220" s="44">
        <f t="shared" si="28"/>
        <v>24000</v>
      </c>
      <c r="P220" s="217">
        <f t="shared" si="28"/>
        <v>2185433.333333333</v>
      </c>
      <c r="Q220" s="44">
        <f t="shared" si="28"/>
        <v>237500</v>
      </c>
      <c r="R220" s="44">
        <f t="shared" si="28"/>
        <v>25864583.333333332</v>
      </c>
      <c r="S220" s="213">
        <f t="shared" si="28"/>
        <v>2277500</v>
      </c>
    </row>
    <row r="221" spans="1:23" ht="12.55" x14ac:dyDescent="0.2">
      <c r="C221" s="207"/>
      <c r="D221" s="207" t="s">
        <v>370</v>
      </c>
      <c r="I221" s="44">
        <f>ABS(N220)*2</f>
        <v>5000</v>
      </c>
      <c r="J221" s="44" t="s">
        <v>909</v>
      </c>
      <c r="Q221" s="67"/>
      <c r="S221" s="213"/>
    </row>
    <row r="222" spans="1:23" x14ac:dyDescent="0.2">
      <c r="D222" s="207" t="s">
        <v>371</v>
      </c>
      <c r="I222" s="44">
        <f>I221*G187/10000000*gd</f>
        <v>3.5999999999999996</v>
      </c>
      <c r="J222" s="44" t="s">
        <v>25</v>
      </c>
    </row>
    <row r="224" spans="1:23" x14ac:dyDescent="0.2">
      <c r="C224" s="67"/>
      <c r="D224" s="207" t="s">
        <v>55</v>
      </c>
    </row>
    <row r="225" spans="1:28" ht="11.3" thickBot="1" x14ac:dyDescent="0.25">
      <c r="C225" s="67"/>
      <c r="D225" s="207" t="s">
        <v>369</v>
      </c>
      <c r="I225" s="80">
        <v>300</v>
      </c>
      <c r="J225" s="44" t="s">
        <v>42</v>
      </c>
      <c r="K225" s="44" t="s">
        <v>1064</v>
      </c>
    </row>
    <row r="226" spans="1:28" ht="11.3" thickBot="1" x14ac:dyDescent="0.25">
      <c r="A226" s="209" t="s">
        <v>0</v>
      </c>
      <c r="B226" s="210" t="s">
        <v>1</v>
      </c>
      <c r="P226" s="157">
        <f>I259-A227</f>
        <v>-16.027999999999999</v>
      </c>
    </row>
    <row r="227" spans="1:28" ht="12.55" x14ac:dyDescent="0.2">
      <c r="A227" s="211">
        <f>A196</f>
        <v>35</v>
      </c>
      <c r="B227" s="211">
        <f>B196</f>
        <v>25</v>
      </c>
      <c r="L227" s="131"/>
      <c r="M227" s="131"/>
      <c r="N227" s="131" t="s">
        <v>2</v>
      </c>
      <c r="O227" s="131" t="s">
        <v>3</v>
      </c>
      <c r="P227" s="131" t="s">
        <v>907</v>
      </c>
      <c r="Q227" s="131" t="s">
        <v>4</v>
      </c>
      <c r="R227" s="131" t="s">
        <v>908</v>
      </c>
      <c r="S227" s="131" t="s">
        <v>5</v>
      </c>
      <c r="T227" s="44">
        <f t="shared" ref="T227:T256" si="29">U227*W227</f>
        <v>0</v>
      </c>
      <c r="U227" s="67">
        <v>1</v>
      </c>
      <c r="V227" s="67"/>
      <c r="W227" s="44">
        <f>(A227-A227)</f>
        <v>0</v>
      </c>
      <c r="AB227" s="44" t="s">
        <v>22</v>
      </c>
    </row>
    <row r="228" spans="1:28" x14ac:dyDescent="0.2">
      <c r="A228" s="211">
        <f>A199</f>
        <v>35</v>
      </c>
      <c r="B228" s="211">
        <f>B199</f>
        <v>165</v>
      </c>
      <c r="L228" s="44">
        <f t="shared" ref="L228:L256" si="30">T227+(T228-T227)/2</f>
        <v>0</v>
      </c>
      <c r="M228" s="44">
        <f t="shared" ref="M228:M256" si="31">B228-B227</f>
        <v>140</v>
      </c>
      <c r="N228" s="44">
        <f t="shared" ref="N228:N256" si="32">L228*M228</f>
        <v>0</v>
      </c>
      <c r="O228" s="44">
        <f t="shared" ref="O228:O256" si="33">T227^2/2*M228+(T228-T227)/2*M228*(T227+(T228-T227)/3)</f>
        <v>0</v>
      </c>
      <c r="P228" s="44">
        <f>(B228-B227)*T227^3/12+(B228-B227)*T227*(T227/2-P226)^2+(B228-B227)*(T228-T227)^3/36+(B228-B227)*(T228-T227)/2*(T227+(T228-T227)/3-P226)^2</f>
        <v>0</v>
      </c>
      <c r="Q228" s="44">
        <f t="shared" ref="Q228:Q256" si="34">T227*(B228-B227)*(B227+(B228-B227)/2)+(T228-T227)/2*(B228-B227)*(B227+2/3*(B228-B227))</f>
        <v>0</v>
      </c>
      <c r="R228" s="44">
        <f>T227*(B228-B227)^3/12+T227*(B228-B227)*(B227+(B228-B227)/2-I260)^2+(T228-T227)*(B228-B227)^3/36+(T228-T227)/2*(B228-B227)*(B227+2/3*(B228-B227)-I260)^2</f>
        <v>0</v>
      </c>
      <c r="S228" s="213">
        <f t="shared" ref="S228:S256" si="35">T227^2/2*M228*(B227+(B228-B227)/2)+(T228-T227)/2*M228*(T227+(T228-T227)/3)*(B227+2/3*(B228-B227))</f>
        <v>0</v>
      </c>
      <c r="T228" s="44">
        <f t="shared" si="29"/>
        <v>0</v>
      </c>
      <c r="U228" s="67">
        <v>1</v>
      </c>
      <c r="V228" s="67">
        <f>IF(AND(W228=W227,B228=B227),A,1)</f>
        <v>1</v>
      </c>
      <c r="W228" s="44">
        <f>(A228-A227)</f>
        <v>0</v>
      </c>
    </row>
    <row r="229" spans="1:28" x14ac:dyDescent="0.2">
      <c r="A229" s="211">
        <f>+A107</f>
        <v>35</v>
      </c>
      <c r="B229" s="211">
        <f>+B107</f>
        <v>180</v>
      </c>
      <c r="L229" s="44">
        <f t="shared" si="30"/>
        <v>0</v>
      </c>
      <c r="M229" s="44">
        <f t="shared" si="31"/>
        <v>15</v>
      </c>
      <c r="N229" s="44">
        <f t="shared" si="32"/>
        <v>0</v>
      </c>
      <c r="O229" s="44">
        <f t="shared" si="33"/>
        <v>0</v>
      </c>
      <c r="P229" s="44">
        <f>(B229-B228)*T228^3/12+(B229-B228)*T228*(T228/2-P226)^2+(B229-B228)*(T229-T228)^3/36+(B229-B228)*(T229-T228)/2*(T228+(T229-T228)/3-P226)^2</f>
        <v>0</v>
      </c>
      <c r="Q229" s="44">
        <f t="shared" si="34"/>
        <v>0</v>
      </c>
      <c r="R229" s="44">
        <f>T228*(B229-B228)^3/12+T228*(B229-B228)*(B228+(B229-B228)/2-I260)^2+(T229-T228)*(B229-B228)^3/36+(T229-T228)/2*(B229-B228)*(B228+2/3*(B229-B228)-I260)^2</f>
        <v>0</v>
      </c>
      <c r="S229" s="213">
        <f t="shared" si="35"/>
        <v>0</v>
      </c>
      <c r="T229" s="44">
        <f t="shared" si="29"/>
        <v>0</v>
      </c>
      <c r="U229" s="67">
        <v>1</v>
      </c>
      <c r="V229" s="67">
        <f>IF(AND(W229=W227,B229=B227),A,1)</f>
        <v>1</v>
      </c>
      <c r="W229" s="44">
        <f>(A229-A227)</f>
        <v>0</v>
      </c>
    </row>
    <row r="230" spans="1:28" x14ac:dyDescent="0.2">
      <c r="A230" s="211">
        <f>I13*100-A228</f>
        <v>205</v>
      </c>
      <c r="B230" s="211">
        <f>B229</f>
        <v>180</v>
      </c>
      <c r="L230" s="44">
        <f t="shared" si="30"/>
        <v>85</v>
      </c>
      <c r="M230" s="44">
        <f t="shared" si="31"/>
        <v>0</v>
      </c>
      <c r="N230" s="44">
        <f t="shared" si="32"/>
        <v>0</v>
      </c>
      <c r="O230" s="44">
        <f t="shared" si="33"/>
        <v>0</v>
      </c>
      <c r="P230" s="44">
        <f>(B230-B229)*T229^3/12+(B230-B229)*T229*(T229/2-P226)^2+(B230-B229)*(T230-T229)^3/36+(B230-B229)*(T230-T229)/2*(T229+(T230-T229)/3-P226)^2</f>
        <v>0</v>
      </c>
      <c r="Q230" s="44">
        <f t="shared" si="34"/>
        <v>0</v>
      </c>
      <c r="R230" s="44">
        <f>T229*(B230-B229)^3/12+T229*(B230-B229)*(B229+(B230-B229)/2-I260)^2+(T230-T229)*(B230-B229)^3/36+(T230-T229)/2*(B230-B229)*(B229+2/3*(B230-B229)-I260)^2</f>
        <v>0</v>
      </c>
      <c r="S230" s="213">
        <f t="shared" si="35"/>
        <v>0</v>
      </c>
      <c r="T230" s="44">
        <f t="shared" si="29"/>
        <v>170</v>
      </c>
      <c r="U230" s="67">
        <f t="shared" ref="U230:U256" si="36">IF(OR(U229=0,V230="A"),0,1)</f>
        <v>1</v>
      </c>
      <c r="V230" s="67">
        <f>IF(AND(W230=W227,B230=B227),A,1)</f>
        <v>1</v>
      </c>
      <c r="W230" s="44">
        <f>(A230-A227)</f>
        <v>170</v>
      </c>
    </row>
    <row r="231" spans="1:28" x14ac:dyDescent="0.2">
      <c r="A231" s="211">
        <f>+A230</f>
        <v>205</v>
      </c>
      <c r="B231" s="211">
        <f>+B228</f>
        <v>165</v>
      </c>
      <c r="L231" s="44">
        <f t="shared" si="30"/>
        <v>170</v>
      </c>
      <c r="M231" s="44">
        <f t="shared" si="31"/>
        <v>-15</v>
      </c>
      <c r="N231" s="44">
        <f t="shared" si="32"/>
        <v>-2550</v>
      </c>
      <c r="O231" s="44">
        <f t="shared" si="33"/>
        <v>-216750</v>
      </c>
      <c r="P231" s="44">
        <f>(B231-B230)*T230^3/12+(B231-B230)*T230*(T230/2-P226)^2+(B231-B230)*(T231-T230)^3/36+(B231-B230)*(T231-T230)/2*(T230+(T231-T230)/3-P226)^2</f>
        <v>-32168224.799199998</v>
      </c>
      <c r="Q231" s="44">
        <f t="shared" si="34"/>
        <v>-439875</v>
      </c>
      <c r="R231" s="44">
        <f>T230*(B231-B230)^3/12+T230*(B231-B230)*(B230+(B231-B230)/2-I260)^2+(T231-T230)*(B231-B230)^3/36+(T231-T230)/2*(B231-B230)*(B230+2/3*(B231-B230)-I260)^2</f>
        <v>-67810401.199800014</v>
      </c>
      <c r="S231" s="213">
        <f t="shared" si="35"/>
        <v>-37389375</v>
      </c>
      <c r="T231" s="44">
        <f t="shared" si="29"/>
        <v>170</v>
      </c>
      <c r="U231" s="67">
        <f t="shared" si="36"/>
        <v>1</v>
      </c>
      <c r="V231" s="67">
        <f>IF(AND(W231=W227,B231=B227),"A",1)</f>
        <v>1</v>
      </c>
      <c r="W231" s="44">
        <f>(A231-A227)</f>
        <v>170</v>
      </c>
    </row>
    <row r="232" spans="1:28" x14ac:dyDescent="0.2">
      <c r="A232" s="211">
        <f>I13*100-A227</f>
        <v>205</v>
      </c>
      <c r="B232" s="211">
        <f>+B227</f>
        <v>25</v>
      </c>
      <c r="L232" s="44">
        <f t="shared" si="30"/>
        <v>170</v>
      </c>
      <c r="M232" s="44">
        <f t="shared" si="31"/>
        <v>-140</v>
      </c>
      <c r="N232" s="44">
        <f t="shared" si="32"/>
        <v>-23800</v>
      </c>
      <c r="O232" s="44">
        <f t="shared" si="33"/>
        <v>-2023000</v>
      </c>
      <c r="P232" s="44">
        <f>(B232-B231)*T231^3/12+(B232-B231)*T231*(T231/2-P226)^2+(B232-B231)*(T232-T231)^3/36+(B232-B231)*(T232-T231)/2*(T231+(T232-T231)/3-P226)^2</f>
        <v>-300236764.79253328</v>
      </c>
      <c r="Q232" s="44">
        <f t="shared" si="34"/>
        <v>-2261000</v>
      </c>
      <c r="R232" s="44">
        <f>T231*(B232-B231)^3/12+T231*(B232-B231)*(B231+(B232-B231)/2-I260)^2+(T232-T231)*(B232-B231)^3/36+(T232-T231)/2*(B232-B231)*(B231+2/3*(B232-B231)-I260)^2</f>
        <v>-212914265.19813332</v>
      </c>
      <c r="S232" s="213">
        <f t="shared" si="35"/>
        <v>-192185000</v>
      </c>
      <c r="T232" s="44">
        <f t="shared" si="29"/>
        <v>170</v>
      </c>
      <c r="U232" s="67">
        <f t="shared" si="36"/>
        <v>1</v>
      </c>
      <c r="V232" s="67">
        <f>IF(AND(W232=W227,B232=B227),"A",1)</f>
        <v>1</v>
      </c>
      <c r="W232" s="44">
        <f>(A232-A227)</f>
        <v>170</v>
      </c>
    </row>
    <row r="233" spans="1:28" x14ac:dyDescent="0.2">
      <c r="A233" s="211">
        <f>+A227</f>
        <v>35</v>
      </c>
      <c r="B233" s="211">
        <f>+B227</f>
        <v>25</v>
      </c>
      <c r="L233" s="44">
        <f t="shared" si="30"/>
        <v>85</v>
      </c>
      <c r="M233" s="44">
        <f t="shared" si="31"/>
        <v>0</v>
      </c>
      <c r="N233" s="44">
        <f t="shared" si="32"/>
        <v>0</v>
      </c>
      <c r="O233" s="44">
        <f t="shared" si="33"/>
        <v>0</v>
      </c>
      <c r="P233" s="44">
        <f>(B233-B232)*T232^3/12+(B233-B232)*T232*(T232/2-P226)^2+(B233-B232)*(T233-T232)^3/36+(B233-B232)*(T233-T232)/2*(T232+(T233-T232)/3-P226)^2</f>
        <v>0</v>
      </c>
      <c r="Q233" s="44">
        <f t="shared" si="34"/>
        <v>0</v>
      </c>
      <c r="R233" s="44">
        <f>T232*(B233-B232)^3/12+T232*(B233-B232)*(B232+(B233-B232)/2-I260)^2+(T233-T232)*(B233-B232)^3/36+(T233-T232)/2*(B233-B232)*(B232+2/3*(B233-B232)-I260)^2</f>
        <v>0</v>
      </c>
      <c r="S233" s="213">
        <f t="shared" si="35"/>
        <v>0</v>
      </c>
      <c r="T233" s="44">
        <f t="shared" si="29"/>
        <v>0</v>
      </c>
      <c r="U233" s="67">
        <f t="shared" si="36"/>
        <v>0</v>
      </c>
      <c r="V233" s="67" t="str">
        <f>IF(AND(W233=W227,B233=B227),"A",1)</f>
        <v>A</v>
      </c>
      <c r="W233" s="44">
        <f>(A233-A227)</f>
        <v>0</v>
      </c>
    </row>
    <row r="234" spans="1:28" x14ac:dyDescent="0.2">
      <c r="A234" s="216"/>
      <c r="B234" s="216"/>
      <c r="L234" s="44">
        <f t="shared" si="30"/>
        <v>0</v>
      </c>
      <c r="M234" s="44">
        <f t="shared" si="31"/>
        <v>-25</v>
      </c>
      <c r="N234" s="44">
        <f t="shared" si="32"/>
        <v>0</v>
      </c>
      <c r="O234" s="44">
        <f t="shared" si="33"/>
        <v>0</v>
      </c>
      <c r="P234" s="44">
        <f>(B234-B233)*T233^3/12+(B234-B233)*T233*(T233/2-P226)^2+(B234-B233)*(T234-T233)^3/36+(B234-B233)*(T234-T233)/2*(T233+(T234-T233)/3-P226)^2</f>
        <v>0</v>
      </c>
      <c r="Q234" s="44">
        <f t="shared" si="34"/>
        <v>0</v>
      </c>
      <c r="R234" s="44">
        <f>T233*(B234-B233)^3/12+T233*(B234-B233)*(B233+(B234-B233)/2-I260)^2+(T234-T233)*(B234-B233)^3/36+(T234-T233)/2*(B234-B233)*(B233+2/3*(B234-B233)-I260)^2</f>
        <v>0</v>
      </c>
      <c r="S234" s="213">
        <f t="shared" si="35"/>
        <v>0</v>
      </c>
      <c r="T234" s="44">
        <f t="shared" si="29"/>
        <v>0</v>
      </c>
      <c r="U234" s="67">
        <f t="shared" si="36"/>
        <v>0</v>
      </c>
      <c r="V234" s="67">
        <f>IF(AND(W234=W227,B234=B227),"A",1)</f>
        <v>1</v>
      </c>
      <c r="W234" s="214">
        <f>(A234-A227)</f>
        <v>-35</v>
      </c>
    </row>
    <row r="235" spans="1:28" x14ac:dyDescent="0.2">
      <c r="A235" s="216"/>
      <c r="B235" s="216"/>
      <c r="L235" s="44">
        <f t="shared" si="30"/>
        <v>0</v>
      </c>
      <c r="M235" s="44">
        <f t="shared" si="31"/>
        <v>0</v>
      </c>
      <c r="N235" s="44">
        <f t="shared" si="32"/>
        <v>0</v>
      </c>
      <c r="O235" s="44">
        <f t="shared" si="33"/>
        <v>0</v>
      </c>
      <c r="P235" s="44">
        <f>(B235-B234)*T234^3/12+(B235-B234)*T234*(T234/2-P226)^2+(B235-B234)*(T235-T234)^3/36+(B235-B234)*(T235-T234)/2*(T234+(T235-T234)/3-P226)^2</f>
        <v>0</v>
      </c>
      <c r="Q235" s="44">
        <f t="shared" si="34"/>
        <v>0</v>
      </c>
      <c r="R235" s="44">
        <f>T234*(B235-B234)^3/12+T234*(B235-B234)*(B234+(B235-B234)/2-I260)^2+(T235-T234)*(B235-B234)^3/36+(T235-T234)/2*(B235-B234)*(B234+2/3*(B235-B234)-I260)^2</f>
        <v>0</v>
      </c>
      <c r="S235" s="213">
        <f t="shared" si="35"/>
        <v>0</v>
      </c>
      <c r="T235" s="44">
        <f t="shared" si="29"/>
        <v>0</v>
      </c>
      <c r="U235" s="67">
        <f t="shared" si="36"/>
        <v>0</v>
      </c>
      <c r="V235" s="67">
        <f>IF(AND(W235=W227,B235=B227),"A",1)</f>
        <v>1</v>
      </c>
      <c r="W235" s="44">
        <f>(A235-A227)</f>
        <v>-35</v>
      </c>
    </row>
    <row r="236" spans="1:28" x14ac:dyDescent="0.2">
      <c r="A236" s="216"/>
      <c r="B236" s="216"/>
      <c r="L236" s="44">
        <f t="shared" si="30"/>
        <v>0</v>
      </c>
      <c r="M236" s="44">
        <f t="shared" si="31"/>
        <v>0</v>
      </c>
      <c r="N236" s="44">
        <f t="shared" si="32"/>
        <v>0</v>
      </c>
      <c r="O236" s="44">
        <f t="shared" si="33"/>
        <v>0</v>
      </c>
      <c r="P236" s="44">
        <f>(B236-B235)*T235^3/12+(B236-B235)*T235*(T235/2-P226)^2+(B236-B235)*(T236-T235)^3/36+(B236-B235)*(T236-T235)/2*(T235+(T236-T235)/3-P226)^2</f>
        <v>0</v>
      </c>
      <c r="Q236" s="44">
        <f t="shared" si="34"/>
        <v>0</v>
      </c>
      <c r="R236" s="44">
        <f>T235*(B236-B235)^3/12+T235*(B236-B235)*(B235+(B236-B235)/2-I260)^2+(T236-T235)*(B236-B235)^3/36+(T236-T235)/2*(B236-B235)*(B235+2/3*(B236-B235)-I260)^2</f>
        <v>0</v>
      </c>
      <c r="S236" s="213">
        <f t="shared" si="35"/>
        <v>0</v>
      </c>
      <c r="T236" s="44">
        <f t="shared" si="29"/>
        <v>0</v>
      </c>
      <c r="U236" s="67">
        <f t="shared" si="36"/>
        <v>0</v>
      </c>
      <c r="V236" s="67">
        <f>IF(AND(W236=W227,B236=B227),"A",1)</f>
        <v>1</v>
      </c>
      <c r="W236" s="44">
        <f>(A236-A227)</f>
        <v>-35</v>
      </c>
    </row>
    <row r="237" spans="1:28" x14ac:dyDescent="0.2">
      <c r="A237" s="216"/>
      <c r="B237" s="216"/>
      <c r="L237" s="44">
        <f t="shared" si="30"/>
        <v>0</v>
      </c>
      <c r="M237" s="44">
        <f t="shared" si="31"/>
        <v>0</v>
      </c>
      <c r="N237" s="44">
        <f t="shared" si="32"/>
        <v>0</v>
      </c>
      <c r="O237" s="44">
        <f t="shared" si="33"/>
        <v>0</v>
      </c>
      <c r="P237" s="44">
        <f>(B237-B236)*T236^3/12+(B237-B236)*T236*(T236/2-P226)^2+(B237-B236)*(T237-T236)^3/36+(B237-B236)*(T237-T236)/2*(T236+(T237-T236)/3-P226)^2</f>
        <v>0</v>
      </c>
      <c r="Q237" s="44">
        <f t="shared" si="34"/>
        <v>0</v>
      </c>
      <c r="R237" s="44">
        <f>T236*(B237-B236)^3/12+T236*(B237-B236)*(B236+(B237-B236)/2-I260)^2+(T237-T236)*(B237-B236)^3/36+(T237-T236)/2*(B237-B236)*(B236+2/3*(B237-B236)-I260)^2</f>
        <v>0</v>
      </c>
      <c r="S237" s="213">
        <f t="shared" si="35"/>
        <v>0</v>
      </c>
      <c r="T237" s="44">
        <f t="shared" si="29"/>
        <v>0</v>
      </c>
      <c r="U237" s="67">
        <f t="shared" si="36"/>
        <v>0</v>
      </c>
      <c r="V237" s="67">
        <f>IF(AND(W237=W227,B237=B227),"A",1)</f>
        <v>1</v>
      </c>
      <c r="W237" s="44">
        <f>(A237-A227)</f>
        <v>-35</v>
      </c>
    </row>
    <row r="238" spans="1:28" x14ac:dyDescent="0.2">
      <c r="A238" s="211"/>
      <c r="B238" s="211"/>
      <c r="L238" s="44">
        <f t="shared" si="30"/>
        <v>0</v>
      </c>
      <c r="M238" s="44">
        <f t="shared" si="31"/>
        <v>0</v>
      </c>
      <c r="N238" s="44">
        <f t="shared" si="32"/>
        <v>0</v>
      </c>
      <c r="O238" s="44">
        <f t="shared" si="33"/>
        <v>0</v>
      </c>
      <c r="P238" s="44">
        <f>(B238-B237)*T237^3/12+(B238-B237)*T237*(T237/2-P226)^2+(B238-B237)*(T238-T237)^3/36+(B238-B237)*(T238-T237)/2*(T237+(T238-T237)/3-P226)^2</f>
        <v>0</v>
      </c>
      <c r="Q238" s="44">
        <f t="shared" si="34"/>
        <v>0</v>
      </c>
      <c r="R238" s="44">
        <f>T237*(B238-B237)^3/12+T237*(B238-B237)*(B237+(B238-B237)/2-I260)^2+(T238-T237)*(B238-B237)^3/36+(T238-T237)/2*(B238-B237)*(B237+2/3*(B238-B237)-I260)^2</f>
        <v>0</v>
      </c>
      <c r="S238" s="213">
        <f t="shared" si="35"/>
        <v>0</v>
      </c>
      <c r="T238" s="44">
        <f t="shared" si="29"/>
        <v>0</v>
      </c>
      <c r="U238" s="67">
        <f t="shared" si="36"/>
        <v>0</v>
      </c>
      <c r="V238" s="67">
        <f>IF(AND(W238=W227,B238=B227),"A",1)</f>
        <v>1</v>
      </c>
      <c r="W238" s="44">
        <f>(A238-A227)</f>
        <v>-35</v>
      </c>
    </row>
    <row r="239" spans="1:28" hidden="1" x14ac:dyDescent="0.2">
      <c r="A239" s="211"/>
      <c r="B239" s="211"/>
      <c r="L239" s="44">
        <f t="shared" si="30"/>
        <v>0</v>
      </c>
      <c r="M239" s="44">
        <f t="shared" si="31"/>
        <v>0</v>
      </c>
      <c r="N239" s="44">
        <f t="shared" si="32"/>
        <v>0</v>
      </c>
      <c r="O239" s="44">
        <f t="shared" si="33"/>
        <v>0</v>
      </c>
      <c r="P239" s="44">
        <f>(B239-B238)*T238^3/12+(B239-B238)*T238*(T238/2-P226)^2+(B239-B238)*(T239-T238)^3/36+(B239-B238)*(T239-T238)/2*(T238+(T239-T238)/3-P226)^2</f>
        <v>0</v>
      </c>
      <c r="Q239" s="44">
        <f t="shared" si="34"/>
        <v>0</v>
      </c>
      <c r="R239" s="44">
        <f>T238*(B239-B238)^3/12+T238*(B239-B238)*(B238+(B239-B238)/2-I260)^2+(T239-T238)*(B239-B238)^3/36+(T239-T238)/2*(B239-B238)*(B238+2/3*(B239-B238)-I260)^2</f>
        <v>0</v>
      </c>
      <c r="S239" s="213">
        <f t="shared" si="35"/>
        <v>0</v>
      </c>
      <c r="T239" s="44">
        <f t="shared" si="29"/>
        <v>0</v>
      </c>
      <c r="U239" s="67">
        <f t="shared" si="36"/>
        <v>0</v>
      </c>
      <c r="V239" s="67">
        <f>IF(AND(W239=W227,B239=B227),"A",1)</f>
        <v>1</v>
      </c>
      <c r="W239" s="44">
        <f>(A239-A227)</f>
        <v>-35</v>
      </c>
    </row>
    <row r="240" spans="1:28" hidden="1" x14ac:dyDescent="0.2">
      <c r="A240" s="211"/>
      <c r="B240" s="211"/>
      <c r="L240" s="44">
        <f t="shared" si="30"/>
        <v>0</v>
      </c>
      <c r="M240" s="44">
        <f t="shared" si="31"/>
        <v>0</v>
      </c>
      <c r="N240" s="44">
        <f t="shared" si="32"/>
        <v>0</v>
      </c>
      <c r="O240" s="44">
        <f t="shared" si="33"/>
        <v>0</v>
      </c>
      <c r="P240" s="44">
        <f>(B240-B239)*T239^3/12+(B240-B239)*T239*(T239/2-P226)^2+(B240-B239)*(T240-T239)^3/36+(B240-B239)*(T240-T239)/2*(T239+(T240-T239)/3-P226)^2</f>
        <v>0</v>
      </c>
      <c r="Q240" s="44">
        <f t="shared" si="34"/>
        <v>0</v>
      </c>
      <c r="R240" s="44">
        <f>T239*(B240-B239)^3/12+T239*(B240-B239)*(B239+(B240-B239)/2-I260)^2+(T240-T239)*(B240-B239)^3/36+(T240-T239)/2*(B240-B239)*(B239+2/3*(B240-B239)-I260)^2</f>
        <v>0</v>
      </c>
      <c r="S240" s="213">
        <f t="shared" si="35"/>
        <v>0</v>
      </c>
      <c r="T240" s="44">
        <f t="shared" si="29"/>
        <v>0</v>
      </c>
      <c r="U240" s="67">
        <f t="shared" si="36"/>
        <v>0</v>
      </c>
      <c r="V240" s="67">
        <f>IF(AND(W240=W227,B240=B227),"A",1)</f>
        <v>1</v>
      </c>
      <c r="W240" s="44">
        <f>(A240-A227)</f>
        <v>-35</v>
      </c>
    </row>
    <row r="241" spans="1:23" hidden="1" x14ac:dyDescent="0.2">
      <c r="A241" s="211"/>
      <c r="B241" s="211"/>
      <c r="L241" s="44">
        <f t="shared" si="30"/>
        <v>0</v>
      </c>
      <c r="M241" s="44">
        <f t="shared" si="31"/>
        <v>0</v>
      </c>
      <c r="N241" s="44">
        <f t="shared" si="32"/>
        <v>0</v>
      </c>
      <c r="O241" s="44">
        <f t="shared" si="33"/>
        <v>0</v>
      </c>
      <c r="P241" s="44">
        <f>(B241-B240)*T240^3/12+(B241-B240)*T240*(T240/2-P226)^2+(B241-B240)*(T241-T240)^3/36+(B241-B240)*(T241-T240)/2*(T240+(T241-T240)/3-P226)^2</f>
        <v>0</v>
      </c>
      <c r="Q241" s="44">
        <f t="shared" si="34"/>
        <v>0</v>
      </c>
      <c r="R241" s="44">
        <f>T240*(B241-B240)^3/12+T240*(B241-B240)*(B240+(B241-B240)/2-I260)^2+(T241-T240)*(B241-B240)^3/36+(T241-T240)/2*(B241-B240)*(B240+2/3*(B241-B240)-I260)^2</f>
        <v>0</v>
      </c>
      <c r="S241" s="213">
        <f t="shared" si="35"/>
        <v>0</v>
      </c>
      <c r="T241" s="44">
        <f t="shared" si="29"/>
        <v>0</v>
      </c>
      <c r="U241" s="67">
        <f t="shared" si="36"/>
        <v>0</v>
      </c>
      <c r="V241" s="67">
        <f>IF(AND(W241=W227,B241=B227),"A",1)</f>
        <v>1</v>
      </c>
      <c r="W241" s="44">
        <f>(A241-A227)</f>
        <v>-35</v>
      </c>
    </row>
    <row r="242" spans="1:23" hidden="1" x14ac:dyDescent="0.2">
      <c r="A242" s="211"/>
      <c r="B242" s="216"/>
      <c r="L242" s="44">
        <f t="shared" si="30"/>
        <v>0</v>
      </c>
      <c r="M242" s="44">
        <f t="shared" si="31"/>
        <v>0</v>
      </c>
      <c r="N242" s="44">
        <f t="shared" si="32"/>
        <v>0</v>
      </c>
      <c r="O242" s="44">
        <f t="shared" si="33"/>
        <v>0</v>
      </c>
      <c r="P242" s="44">
        <f>(B242-B241)*T241^3/12+(B242-B241)*T241*(T241/2-P226)^2+(B242-B241)*(T242-T241)^3/36+(B242-B241)*(T242-T241)/2*(T241+(T242-T241)/3-P226)^2</f>
        <v>0</v>
      </c>
      <c r="Q242" s="44">
        <f t="shared" si="34"/>
        <v>0</v>
      </c>
      <c r="R242" s="44">
        <f>T241*(B242-B241)^3/12+T241*(B242-B241)*(B241+(B242-B241)/2-I260)^2+(T242-T241)*(B242-B241)^3/36+(T242-T241)/2*(B242-B241)*(B241+2/3*(B242-B241)-I260)^2</f>
        <v>0</v>
      </c>
      <c r="S242" s="213">
        <f t="shared" si="35"/>
        <v>0</v>
      </c>
      <c r="T242" s="44">
        <f t="shared" si="29"/>
        <v>0</v>
      </c>
      <c r="U242" s="67">
        <f t="shared" si="36"/>
        <v>0</v>
      </c>
      <c r="V242" s="67">
        <f>IF(AND(W242=W227,B242=B227),"A",1)</f>
        <v>1</v>
      </c>
      <c r="W242" s="44">
        <f>(A242-A227)</f>
        <v>-35</v>
      </c>
    </row>
    <row r="243" spans="1:23" hidden="1" x14ac:dyDescent="0.2">
      <c r="A243" s="216"/>
      <c r="B243" s="216"/>
      <c r="L243" s="44">
        <f t="shared" si="30"/>
        <v>0</v>
      </c>
      <c r="M243" s="44">
        <f t="shared" si="31"/>
        <v>0</v>
      </c>
      <c r="N243" s="44">
        <f t="shared" si="32"/>
        <v>0</v>
      </c>
      <c r="O243" s="44">
        <f t="shared" si="33"/>
        <v>0</v>
      </c>
      <c r="P243" s="44">
        <f>(B243-B242)*T242^3/12+(B243-B242)*T242*(T242/2-P226)^2+(B243-B242)*(T243-T242)^3/36+(B243-B242)*(T243-T242)/2*(T242+(T243-T242)/3-P226)^2</f>
        <v>0</v>
      </c>
      <c r="Q243" s="44">
        <f t="shared" si="34"/>
        <v>0</v>
      </c>
      <c r="R243" s="44">
        <f>T242*(B243-B242)^3/12+T242*(B243-B242)*(B242+(B243-B242)/2-I260)^2+(T243-T242)*(B243-B242)^3/36+(T243-T242)/2*(B243-B242)*(B242+2/3*(B243-B242)-I260)^2</f>
        <v>0</v>
      </c>
      <c r="S243" s="213">
        <f t="shared" si="35"/>
        <v>0</v>
      </c>
      <c r="T243" s="44">
        <f t="shared" si="29"/>
        <v>0</v>
      </c>
      <c r="U243" s="67">
        <f t="shared" si="36"/>
        <v>0</v>
      </c>
      <c r="V243" s="67">
        <f>IF(AND(W243=W227,B243=B227),"A",1)</f>
        <v>1</v>
      </c>
      <c r="W243" s="44">
        <f>(A243-A227)</f>
        <v>-35</v>
      </c>
    </row>
    <row r="244" spans="1:23" hidden="1" x14ac:dyDescent="0.2">
      <c r="A244" s="216"/>
      <c r="B244" s="216"/>
      <c r="L244" s="44">
        <f t="shared" si="30"/>
        <v>0</v>
      </c>
      <c r="M244" s="44">
        <f t="shared" si="31"/>
        <v>0</v>
      </c>
      <c r="N244" s="44">
        <f t="shared" si="32"/>
        <v>0</v>
      </c>
      <c r="O244" s="44">
        <f t="shared" si="33"/>
        <v>0</v>
      </c>
      <c r="P244" s="44">
        <f>(B244-B243)*T243^3/12+(B244-B243)*T243*(T243/2-P226)^2+(B244-B243)*(T244-T243)^3/36+(B244-B243)*(T244-T243)/2*(T243+(T244-T243)/3-P226)^2</f>
        <v>0</v>
      </c>
      <c r="Q244" s="44">
        <f t="shared" si="34"/>
        <v>0</v>
      </c>
      <c r="R244" s="44">
        <f>T243*(B244-B243)^3/12+T243*(B244-B243)*(B243+(B244-B243)/2-I260)^2+(T244-T243)*(B244-B243)^3/36+(T244-T243)/2*(B244-B243)*(B243+2/3*(B244-B243)-I260)^2</f>
        <v>0</v>
      </c>
      <c r="S244" s="213">
        <f t="shared" si="35"/>
        <v>0</v>
      </c>
      <c r="T244" s="44">
        <f t="shared" si="29"/>
        <v>0</v>
      </c>
      <c r="U244" s="67">
        <f t="shared" si="36"/>
        <v>0</v>
      </c>
      <c r="V244" s="67">
        <f>IF(AND(W244=W227,B244=B227),"A",1)</f>
        <v>1</v>
      </c>
      <c r="W244" s="44">
        <f>(A244-A227)</f>
        <v>-35</v>
      </c>
    </row>
    <row r="245" spans="1:23" hidden="1" x14ac:dyDescent="0.2">
      <c r="A245" s="211"/>
      <c r="B245" s="216"/>
      <c r="L245" s="44">
        <f t="shared" si="30"/>
        <v>0</v>
      </c>
      <c r="M245" s="44">
        <f t="shared" si="31"/>
        <v>0</v>
      </c>
      <c r="N245" s="44">
        <f t="shared" si="32"/>
        <v>0</v>
      </c>
      <c r="O245" s="44">
        <f t="shared" si="33"/>
        <v>0</v>
      </c>
      <c r="P245" s="44">
        <f>(B245-B244)*T244^3/12+(B245-B244)*T244*(T244/2-P226)^2+(B245-B244)*(T245-T244)^3/36+(B245-B244)*(T245-T244)/2*(T244+(T245-T244)/3-P226)^2</f>
        <v>0</v>
      </c>
      <c r="Q245" s="44">
        <f t="shared" si="34"/>
        <v>0</v>
      </c>
      <c r="R245" s="44">
        <f>T244*(B245-B244)^3/12+T244*(B245-B244)*(B244+(B245-B244)/2-I260)^2+(T245-T244)*(B245-B244)^3/36+(T245-T244)/2*(B245-B244)*(B244+2/3*(B245-B244)-I260)^2</f>
        <v>0</v>
      </c>
      <c r="S245" s="213">
        <f t="shared" si="35"/>
        <v>0</v>
      </c>
      <c r="T245" s="44">
        <f t="shared" si="29"/>
        <v>0</v>
      </c>
      <c r="U245" s="67">
        <f t="shared" si="36"/>
        <v>0</v>
      </c>
      <c r="V245" s="67">
        <f>IF(AND(W245=W227,B245=B227),"A",1)</f>
        <v>1</v>
      </c>
      <c r="W245" s="44">
        <f>(A245-A227)</f>
        <v>-35</v>
      </c>
    </row>
    <row r="246" spans="1:23" hidden="1" x14ac:dyDescent="0.2">
      <c r="A246" s="216"/>
      <c r="B246" s="216"/>
      <c r="L246" s="44">
        <f t="shared" si="30"/>
        <v>0</v>
      </c>
      <c r="M246" s="44">
        <f t="shared" si="31"/>
        <v>0</v>
      </c>
      <c r="N246" s="44">
        <f t="shared" si="32"/>
        <v>0</v>
      </c>
      <c r="O246" s="44">
        <f t="shared" si="33"/>
        <v>0</v>
      </c>
      <c r="P246" s="44">
        <f>(B246-B245)*T245^3/12+(B246-B245)*T245*(T245/2-P226)^2+(B246-B245)*(T246-T245)^3/36+(B246-B245)*(T246-T245)/2*(T245+(T246-T245)/3-P226)^2</f>
        <v>0</v>
      </c>
      <c r="Q246" s="44">
        <f t="shared" si="34"/>
        <v>0</v>
      </c>
      <c r="R246" s="44">
        <f>T245*(B246-B245)^3/12+T245*(B246-B245)*(B245+(B246-B245)/2-I260)^2+(T246-T245)*(B246-B245)^3/36+(T246-T245)/2*(B246-B245)*(B245+2/3*(B246-B245)-I260)^2</f>
        <v>0</v>
      </c>
      <c r="S246" s="213">
        <f t="shared" si="35"/>
        <v>0</v>
      </c>
      <c r="T246" s="44">
        <f t="shared" si="29"/>
        <v>0</v>
      </c>
      <c r="U246" s="67">
        <f t="shared" si="36"/>
        <v>0</v>
      </c>
      <c r="V246" s="67">
        <f>IF(AND(W246=W227,B246=B227),"A",1)</f>
        <v>1</v>
      </c>
      <c r="W246" s="44">
        <f>(A246-A227)</f>
        <v>-35</v>
      </c>
    </row>
    <row r="247" spans="1:23" hidden="1" x14ac:dyDescent="0.2">
      <c r="A247" s="211"/>
      <c r="B247" s="216"/>
      <c r="L247" s="44">
        <f t="shared" si="30"/>
        <v>0</v>
      </c>
      <c r="M247" s="44">
        <f t="shared" si="31"/>
        <v>0</v>
      </c>
      <c r="N247" s="44">
        <f t="shared" si="32"/>
        <v>0</v>
      </c>
      <c r="O247" s="44">
        <f t="shared" si="33"/>
        <v>0</v>
      </c>
      <c r="P247" s="44">
        <f>(B247-B246)*T246^3/12+(B247-B246)*T246*(T246/2-P226)^2+(B247-B246)*(T247-T246)^3/36+(B247-B246)*(T247-T246)/2*(T246+(T247-T246)/3-P226)^2</f>
        <v>0</v>
      </c>
      <c r="Q247" s="44">
        <f t="shared" si="34"/>
        <v>0</v>
      </c>
      <c r="R247" s="44">
        <f>T246*(B247-B246)^3/12+T246*(B247-B246)*(B246+(B247-B246)/2-I260)^2+(T247-T246)*(B247-B246)^3/36+(T247-T246)/2*(B247-B246)*(B246+2/3*(B247-B246)-I260)^2</f>
        <v>0</v>
      </c>
      <c r="S247" s="213">
        <f t="shared" si="35"/>
        <v>0</v>
      </c>
      <c r="T247" s="44">
        <f t="shared" si="29"/>
        <v>0</v>
      </c>
      <c r="U247" s="67">
        <f t="shared" si="36"/>
        <v>0</v>
      </c>
      <c r="V247" s="67">
        <f>IF(AND(W247=W227,B247=B227),"A",1)</f>
        <v>1</v>
      </c>
      <c r="W247" s="44">
        <f>(A247-A227)</f>
        <v>-35</v>
      </c>
    </row>
    <row r="248" spans="1:23" hidden="1" x14ac:dyDescent="0.2">
      <c r="A248" s="211"/>
      <c r="B248" s="216"/>
      <c r="L248" s="44">
        <f t="shared" si="30"/>
        <v>0</v>
      </c>
      <c r="M248" s="44">
        <f t="shared" si="31"/>
        <v>0</v>
      </c>
      <c r="N248" s="44">
        <f t="shared" si="32"/>
        <v>0</v>
      </c>
      <c r="O248" s="44">
        <f t="shared" si="33"/>
        <v>0</v>
      </c>
      <c r="P248" s="44">
        <f>(B248-B247)*T247^3/12+(B248-B247)*T247*(T247/2-P226)^2+(B248-B247)*(T248-T247)^3/36+(B248-B247)*(T248-T247)/2*(T247+(T248-T247)/3-P226)^2</f>
        <v>0</v>
      </c>
      <c r="Q248" s="44">
        <f t="shared" si="34"/>
        <v>0</v>
      </c>
      <c r="R248" s="44">
        <f>T247*(B248-B247)^3/12+T247*(B248-B247)*(B247+(B248-B247)/2-I260)^2+(T248-T247)*(B248-B247)^3/36+(T248-T247)/2*(B248-B247)*(B247+2/3*(B248-B247)-I260)^2</f>
        <v>0</v>
      </c>
      <c r="S248" s="213">
        <f t="shared" si="35"/>
        <v>0</v>
      </c>
      <c r="T248" s="44">
        <f t="shared" si="29"/>
        <v>0</v>
      </c>
      <c r="U248" s="67">
        <f t="shared" si="36"/>
        <v>0</v>
      </c>
      <c r="V248" s="67">
        <f>IF(AND(W248=W227,B248=B227),"A",1)</f>
        <v>1</v>
      </c>
      <c r="W248" s="44">
        <f>(A248-A227)</f>
        <v>-35</v>
      </c>
    </row>
    <row r="249" spans="1:23" hidden="1" x14ac:dyDescent="0.2">
      <c r="A249" s="211"/>
      <c r="B249" s="216"/>
      <c r="L249" s="44">
        <f t="shared" si="30"/>
        <v>0</v>
      </c>
      <c r="M249" s="44">
        <f t="shared" si="31"/>
        <v>0</v>
      </c>
      <c r="N249" s="44">
        <f t="shared" si="32"/>
        <v>0</v>
      </c>
      <c r="O249" s="44">
        <f t="shared" si="33"/>
        <v>0</v>
      </c>
      <c r="P249" s="44">
        <f>(B249-B248)*T248^3/12+(B249-B248)*T248*(T248/2-P226)^2+(B249-B248)*(T249-T248)^3/36+(B249-B248)*(T249-T248)/2*(T248+(T249-T248)/3-P226)^2</f>
        <v>0</v>
      </c>
      <c r="Q249" s="44">
        <f t="shared" si="34"/>
        <v>0</v>
      </c>
      <c r="R249" s="44">
        <f>T248*(B249-B248)^3/12+T248*(B249-B248)*(B248+(B249-B248)/2-I260)^2+(T249-T248)*(B249-B248)^3/36+(T249-T248)/2*(B249-B248)*(B248+2/3*(B249-B248)-I260)^2</f>
        <v>0</v>
      </c>
      <c r="S249" s="213">
        <f t="shared" si="35"/>
        <v>0</v>
      </c>
      <c r="T249" s="44">
        <f t="shared" si="29"/>
        <v>0</v>
      </c>
      <c r="U249" s="67">
        <f t="shared" si="36"/>
        <v>0</v>
      </c>
      <c r="V249" s="67">
        <f>IF(AND(W249=W227,B249=B227),"A",1)</f>
        <v>1</v>
      </c>
      <c r="W249" s="44">
        <f>(A249-A227)</f>
        <v>-35</v>
      </c>
    </row>
    <row r="250" spans="1:23" hidden="1" x14ac:dyDescent="0.2">
      <c r="A250" s="216"/>
      <c r="B250" s="216"/>
      <c r="L250" s="44">
        <f t="shared" si="30"/>
        <v>0</v>
      </c>
      <c r="M250" s="44">
        <f t="shared" si="31"/>
        <v>0</v>
      </c>
      <c r="N250" s="44">
        <f t="shared" si="32"/>
        <v>0</v>
      </c>
      <c r="O250" s="44">
        <f t="shared" si="33"/>
        <v>0</v>
      </c>
      <c r="P250" s="44">
        <f>(B250-B249)*T249^3/12+(B250-B249)*T249*(T249/2-P226)^2+(B250-B249)*(T250-T249)^3/36+(B250-B249)*(T250-T249)/2*(T249+(T250-T249)/3-P226)^2</f>
        <v>0</v>
      </c>
      <c r="Q250" s="44">
        <f t="shared" si="34"/>
        <v>0</v>
      </c>
      <c r="R250" s="44">
        <f>T249*(B250-B249)^3/12+T249*(B250-B249)*(B249+(B250-B249)/2-I260)^2+(T250-T249)*(B250-B249)^3/36+(T250-T249)/2*(B250-B249)*(B249+2/3*(B250-B249)-I260)^2</f>
        <v>0</v>
      </c>
      <c r="S250" s="213">
        <f t="shared" si="35"/>
        <v>0</v>
      </c>
      <c r="T250" s="44">
        <f t="shared" si="29"/>
        <v>0</v>
      </c>
      <c r="U250" s="67">
        <f t="shared" si="36"/>
        <v>0</v>
      </c>
      <c r="V250" s="67">
        <f>IF(AND(W250=W227,B250=B227),"A",1)</f>
        <v>1</v>
      </c>
      <c r="W250" s="44">
        <f>(A250-A227)</f>
        <v>-35</v>
      </c>
    </row>
    <row r="251" spans="1:23" hidden="1" x14ac:dyDescent="0.2">
      <c r="A251" s="216"/>
      <c r="B251" s="216"/>
      <c r="L251" s="44">
        <f t="shared" si="30"/>
        <v>0</v>
      </c>
      <c r="M251" s="44">
        <f t="shared" si="31"/>
        <v>0</v>
      </c>
      <c r="N251" s="44">
        <f t="shared" si="32"/>
        <v>0</v>
      </c>
      <c r="O251" s="44">
        <f t="shared" si="33"/>
        <v>0</v>
      </c>
      <c r="P251" s="44">
        <f>(B251-B250)*T250^3/12+(B251-B250)*T250*(T250/2-P226)^2+(B251-B250)*(T251-T250)^3/36+(B251-B250)*(T251-T250)/2*(T250+(T251-T250)/3-P226)^2</f>
        <v>0</v>
      </c>
      <c r="Q251" s="44">
        <f t="shared" si="34"/>
        <v>0</v>
      </c>
      <c r="R251" s="44">
        <f>T250*(B251-B250)^3/12+T250*(B251-B250)*(B250+(B251-B250)/2-I260)^2+(T251-T250)*(B251-B250)^3/36+(T251-T250)/2*(B251-B250)*(B250+2/3*(B251-B250)-I260)^2</f>
        <v>0</v>
      </c>
      <c r="S251" s="213">
        <f t="shared" si="35"/>
        <v>0</v>
      </c>
      <c r="T251" s="44">
        <f t="shared" si="29"/>
        <v>0</v>
      </c>
      <c r="U251" s="67">
        <f t="shared" si="36"/>
        <v>0</v>
      </c>
      <c r="V251" s="67">
        <f>IF(AND(W251=W227,B251=B227),"A",1)</f>
        <v>1</v>
      </c>
      <c r="W251" s="44">
        <f>(A251-A227)</f>
        <v>-35</v>
      </c>
    </row>
    <row r="252" spans="1:23" hidden="1" x14ac:dyDescent="0.2">
      <c r="A252" s="216"/>
      <c r="B252" s="216"/>
      <c r="L252" s="44">
        <f t="shared" si="30"/>
        <v>0</v>
      </c>
      <c r="M252" s="44">
        <f t="shared" si="31"/>
        <v>0</v>
      </c>
      <c r="N252" s="44">
        <f t="shared" si="32"/>
        <v>0</v>
      </c>
      <c r="O252" s="44">
        <f t="shared" si="33"/>
        <v>0</v>
      </c>
      <c r="P252" s="44">
        <f>(B252-B251)*T251^3/12+(B252-B251)*T251*(T251/2-P226)^2+(B252-B251)*(T252-T251)^3/36+(B252-B251)*(T252-T251)/2*(T251+(T252-T251)/3-P226)^2</f>
        <v>0</v>
      </c>
      <c r="Q252" s="44">
        <f t="shared" si="34"/>
        <v>0</v>
      </c>
      <c r="R252" s="44">
        <f>T251*(B252-B251)^3/12+T251*(B252-B251)*(B251+(B252-B251)/2-I260)^2+(T252-T251)*(B252-B251)^3/36+(T252-T251)/2*(B252-B251)*(B251+2/3*(B252-B251)-I260)^2</f>
        <v>0</v>
      </c>
      <c r="S252" s="213">
        <f t="shared" si="35"/>
        <v>0</v>
      </c>
      <c r="T252" s="44">
        <f t="shared" si="29"/>
        <v>0</v>
      </c>
      <c r="U252" s="67">
        <f t="shared" si="36"/>
        <v>0</v>
      </c>
      <c r="V252" s="67">
        <f>IF(AND(W252=W227,B252=B227),"A",1)</f>
        <v>1</v>
      </c>
      <c r="W252" s="44">
        <f>(A252-A227)</f>
        <v>-35</v>
      </c>
    </row>
    <row r="253" spans="1:23" hidden="1" x14ac:dyDescent="0.2">
      <c r="A253" s="216"/>
      <c r="B253" s="216"/>
      <c r="L253" s="44">
        <f t="shared" si="30"/>
        <v>0</v>
      </c>
      <c r="M253" s="44">
        <f t="shared" si="31"/>
        <v>0</v>
      </c>
      <c r="N253" s="44">
        <f t="shared" si="32"/>
        <v>0</v>
      </c>
      <c r="O253" s="44">
        <f t="shared" si="33"/>
        <v>0</v>
      </c>
      <c r="P253" s="44">
        <f>(B253-B252)*T252^3/12+(B253-B252)*T252*(T252/2-P226)^2+(B253-B252)*(T253-T252)^3/36+(B253-B252)*(T253-T252)/2*(T252+(T253-T252)/3-P226)^2</f>
        <v>0</v>
      </c>
      <c r="Q253" s="44">
        <f t="shared" si="34"/>
        <v>0</v>
      </c>
      <c r="R253" s="44">
        <f>T252*(B253-B252)^3/12+T252*(B253-B252)*(B252+(B253-B252)/2-I260)^2+(T253-T252)*(B253-B252)^3/36+(T253-T252)/2*(B253-B252)*(B252+2/3*(B253-B252)-I260)^2</f>
        <v>0</v>
      </c>
      <c r="S253" s="213">
        <f t="shared" si="35"/>
        <v>0</v>
      </c>
      <c r="T253" s="44">
        <f t="shared" si="29"/>
        <v>0</v>
      </c>
      <c r="U253" s="67">
        <f t="shared" si="36"/>
        <v>0</v>
      </c>
      <c r="V253" s="67">
        <f>IF(AND(W253=W227,B253=B227),"A",1)</f>
        <v>1</v>
      </c>
      <c r="W253" s="44">
        <f>(A253-A227)</f>
        <v>-35</v>
      </c>
    </row>
    <row r="254" spans="1:23" hidden="1" x14ac:dyDescent="0.2">
      <c r="A254" s="216"/>
      <c r="B254" s="216"/>
      <c r="L254" s="44">
        <f t="shared" si="30"/>
        <v>0</v>
      </c>
      <c r="M254" s="44">
        <f t="shared" si="31"/>
        <v>0</v>
      </c>
      <c r="N254" s="44">
        <f t="shared" si="32"/>
        <v>0</v>
      </c>
      <c r="O254" s="44">
        <f t="shared" si="33"/>
        <v>0</v>
      </c>
      <c r="P254" s="44">
        <f>(B254-B253)*T253^3/12+(B254-B253)*T253*(T253/2-P226)^2+(B254-B253)*(T254-T253)^3/36+(B254-B253)*(T254-T253)/2*(T253+(T254-T253)/3-P226)^2</f>
        <v>0</v>
      </c>
      <c r="Q254" s="44">
        <f t="shared" si="34"/>
        <v>0</v>
      </c>
      <c r="R254" s="44">
        <f>T253*(B254-B253)^3/12+T253*(B254-B253)*(B253+(B254-B253)/2-I260)^2+(T254-T253)*(B254-B253)^3/36+(T254-T253)/2*(B254-B253)*(B253+2/3*(B254-B253)-I260)^2</f>
        <v>0</v>
      </c>
      <c r="S254" s="213">
        <f t="shared" si="35"/>
        <v>0</v>
      </c>
      <c r="T254" s="44">
        <f t="shared" si="29"/>
        <v>0</v>
      </c>
      <c r="U254" s="67">
        <f t="shared" si="36"/>
        <v>0</v>
      </c>
      <c r="V254" s="67">
        <f>IF(AND(W254=W227,B254=B227),"A",1)</f>
        <v>1</v>
      </c>
      <c r="W254" s="44">
        <f>(A254-A227)</f>
        <v>-35</v>
      </c>
    </row>
    <row r="255" spans="1:23" hidden="1" x14ac:dyDescent="0.2">
      <c r="A255" s="216"/>
      <c r="B255" s="216"/>
      <c r="L255" s="44">
        <f t="shared" si="30"/>
        <v>0</v>
      </c>
      <c r="M255" s="44">
        <f t="shared" si="31"/>
        <v>0</v>
      </c>
      <c r="N255" s="44">
        <f t="shared" si="32"/>
        <v>0</v>
      </c>
      <c r="O255" s="44">
        <f t="shared" si="33"/>
        <v>0</v>
      </c>
      <c r="P255" s="44">
        <f>(B255-B254)*T254^3/12+(B255-B254)*T254*(T254/2-P226)^2+(B255-B254)*(T255-T254)^3/36+(B255-B254)*(T255-T254)/2*(T254+(T255-T254)/3-P226)^2</f>
        <v>0</v>
      </c>
      <c r="Q255" s="44">
        <f t="shared" si="34"/>
        <v>0</v>
      </c>
      <c r="R255" s="44">
        <f>T254*(B255-B254)^3/12+T254*(B255-B254)*(B254+(B255-B254)/2-I260)^2+(T255-T254)*(B255-B254)^3/36+(T255-T254)/2*(B255-B254)*(B254+2/3*(B255-B254)-I260)^2</f>
        <v>0</v>
      </c>
      <c r="S255" s="213">
        <f t="shared" si="35"/>
        <v>0</v>
      </c>
      <c r="T255" s="44">
        <f t="shared" si="29"/>
        <v>0</v>
      </c>
      <c r="U255" s="67">
        <f t="shared" si="36"/>
        <v>0</v>
      </c>
      <c r="V255" s="67">
        <f>IF(AND(W255=W227,B255=B227),"A",1)</f>
        <v>1</v>
      </c>
      <c r="W255" s="44">
        <f>(A255-A227)</f>
        <v>-35</v>
      </c>
    </row>
    <row r="256" spans="1:23" hidden="1" x14ac:dyDescent="0.2">
      <c r="A256" s="216"/>
      <c r="B256" s="216"/>
      <c r="L256" s="44">
        <f t="shared" si="30"/>
        <v>0</v>
      </c>
      <c r="M256" s="44">
        <f t="shared" si="31"/>
        <v>0</v>
      </c>
      <c r="N256" s="44">
        <f t="shared" si="32"/>
        <v>0</v>
      </c>
      <c r="O256" s="44">
        <f t="shared" si="33"/>
        <v>0</v>
      </c>
      <c r="P256" s="44">
        <f>(B256-B255)*T255^3/12+(B256-B255)*T255*(T255/2-P226)^2+(B256-B255)*(T256-T255)^3/36+(B256-B255)*(T256-T255)/2*(T255+(T256-T255)/3-P226)^2</f>
        <v>0</v>
      </c>
      <c r="Q256" s="44">
        <f t="shared" si="34"/>
        <v>0</v>
      </c>
      <c r="R256" s="44">
        <f>T255*(B256-B255)^3/12+T255*(B256-B255)*(B255+(B256-B255)/2-I260)^2+(T256-T255)*(B256-B255)^3/36+(T256-T255)/2*(B256-B255)*(B255+2/3*(B256-B255)-I260)^2</f>
        <v>0</v>
      </c>
      <c r="S256" s="213">
        <f t="shared" si="35"/>
        <v>0</v>
      </c>
      <c r="T256" s="44">
        <f t="shared" si="29"/>
        <v>0</v>
      </c>
      <c r="U256" s="67">
        <f t="shared" si="36"/>
        <v>0</v>
      </c>
      <c r="V256" s="67">
        <f>IF(AND(W256=W227,B256=B227),"A",1)</f>
        <v>1</v>
      </c>
      <c r="W256" s="44">
        <f>(A256-A227)</f>
        <v>-35</v>
      </c>
    </row>
    <row r="257" spans="3:19" hidden="1" x14ac:dyDescent="0.2">
      <c r="N257" s="214">
        <f t="shared" ref="N257:S257" si="37">SUM(N228:N256)</f>
        <v>-26350</v>
      </c>
      <c r="O257" s="44">
        <f t="shared" si="37"/>
        <v>-2239750</v>
      </c>
      <c r="P257" s="217">
        <f t="shared" si="37"/>
        <v>-332404989.59173328</v>
      </c>
      <c r="Q257" s="44">
        <f t="shared" si="37"/>
        <v>-2700875</v>
      </c>
      <c r="R257" s="44">
        <f t="shared" si="37"/>
        <v>-280724666.39793336</v>
      </c>
      <c r="S257" s="213">
        <f t="shared" si="37"/>
        <v>-229574375</v>
      </c>
    </row>
    <row r="258" spans="3:19" ht="12.55" x14ac:dyDescent="0.2">
      <c r="C258" s="207"/>
      <c r="D258" s="207" t="s">
        <v>372</v>
      </c>
      <c r="H258" s="44" t="s">
        <v>24</v>
      </c>
      <c r="I258" s="44">
        <f>ABS(N257)</f>
        <v>26350</v>
      </c>
      <c r="J258" s="44" t="s">
        <v>909</v>
      </c>
      <c r="Q258" s="67" t="s">
        <v>7</v>
      </c>
      <c r="S258" s="213"/>
    </row>
    <row r="259" spans="3:19" x14ac:dyDescent="0.2">
      <c r="D259" s="207" t="s">
        <v>373</v>
      </c>
      <c r="H259" s="44" t="s">
        <v>24</v>
      </c>
      <c r="I259" s="157">
        <f>I258*I225/10000000*gd</f>
        <v>18.972000000000001</v>
      </c>
      <c r="J259" s="44" t="s">
        <v>25</v>
      </c>
    </row>
    <row r="260" spans="3:19" x14ac:dyDescent="0.2">
      <c r="D260" s="207" t="s">
        <v>374</v>
      </c>
      <c r="H260" s="44" t="s">
        <v>24</v>
      </c>
      <c r="I260" s="157">
        <f>I259/2</f>
        <v>9.4860000000000007</v>
      </c>
      <c r="J260" s="44" t="s">
        <v>25</v>
      </c>
    </row>
    <row r="261" spans="3:19" x14ac:dyDescent="0.2">
      <c r="D261" s="207" t="s">
        <v>375</v>
      </c>
      <c r="H261" s="44" t="s">
        <v>24</v>
      </c>
      <c r="I261" s="157">
        <f>I259</f>
        <v>18.972000000000001</v>
      </c>
      <c r="J261" s="44" t="s">
        <v>25</v>
      </c>
    </row>
    <row r="263" spans="3:19" x14ac:dyDescent="0.2">
      <c r="D263" s="44" t="s">
        <v>1055</v>
      </c>
      <c r="I263" s="172"/>
    </row>
    <row r="264" spans="3:19" x14ac:dyDescent="0.2">
      <c r="D264" s="232" t="s">
        <v>54</v>
      </c>
      <c r="E264" s="378">
        <v>0</v>
      </c>
      <c r="F264" s="378">
        <v>5</v>
      </c>
      <c r="G264" s="378">
        <v>10</v>
      </c>
      <c r="H264" s="378">
        <v>15</v>
      </c>
      <c r="I264" s="377"/>
      <c r="J264" s="172"/>
    </row>
    <row r="265" spans="3:19" x14ac:dyDescent="0.2">
      <c r="D265" s="232" t="s">
        <v>694</v>
      </c>
      <c r="E265" s="327">
        <f>VLOOKUP(E$264,girder,11)*100</f>
        <v>0</v>
      </c>
      <c r="F265" s="327">
        <f>VLOOKUP(F$264,girder,11)*100</f>
        <v>127819.11428117448</v>
      </c>
      <c r="G265" s="327">
        <f>VLOOKUP(G$264,girder,11)*100</f>
        <v>204870.5828498792</v>
      </c>
      <c r="H265" s="327">
        <f>VLOOKUP(H$264,girder,11)*100</f>
        <v>231329.40570611408</v>
      </c>
      <c r="I265" s="44" t="s">
        <v>53</v>
      </c>
    </row>
    <row r="266" spans="3:19" x14ac:dyDescent="0.2">
      <c r="D266" s="232" t="s">
        <v>51</v>
      </c>
      <c r="E266" s="327">
        <f>VLOOKUP(E$264,slab,11)*100</f>
        <v>1459.3500000000001</v>
      </c>
      <c r="F266" s="327">
        <f>VLOOKUP(F$264,slab,11)*100</f>
        <v>94480.780000000028</v>
      </c>
      <c r="G266" s="327">
        <f>VLOOKUP(G$264,slab,11)*100</f>
        <v>152550.18000000005</v>
      </c>
      <c r="H266" s="327">
        <f>VLOOKUP(H$264,slab,11)*100</f>
        <v>174968.47000000006</v>
      </c>
      <c r="I266" s="44" t="s">
        <v>53</v>
      </c>
      <c r="L266" s="44" t="s">
        <v>54</v>
      </c>
    </row>
    <row r="267" spans="3:19" x14ac:dyDescent="0.2">
      <c r="D267" s="232" t="s">
        <v>692</v>
      </c>
      <c r="E267" s="327">
        <f>VLOOKUP(E$264,sidl,11)*100</f>
        <v>3303.74</v>
      </c>
      <c r="F267" s="327">
        <f>VLOOKUP(F$264,sidl,11)*100</f>
        <v>86591.67</v>
      </c>
      <c r="G267" s="327">
        <f>VLOOKUP(G$264,sidl,11)*100</f>
        <v>140300.84999999998</v>
      </c>
      <c r="H267" s="327">
        <f>VLOOKUP(H$264,sidl,11)*100</f>
        <v>157772.44</v>
      </c>
      <c r="I267" s="44" t="s">
        <v>53</v>
      </c>
    </row>
    <row r="268" spans="3:19" x14ac:dyDescent="0.2">
      <c r="D268" s="201" t="s">
        <v>76</v>
      </c>
      <c r="E268" s="74">
        <f>VLOOKUP(E$264,vehicle,11)*100</f>
        <v>8940.39</v>
      </c>
      <c r="F268" s="74">
        <f>VLOOKUP(F$264,vehicle,11)*100</f>
        <v>126579.29</v>
      </c>
      <c r="G268" s="74">
        <f>VLOOKUP(G$264,vehicle,11)*100</f>
        <v>183453.81</v>
      </c>
      <c r="H268" s="74">
        <f>VLOOKUP(H$264,vehicle,11)*100</f>
        <v>200233.5</v>
      </c>
      <c r="I268" s="44" t="s">
        <v>53</v>
      </c>
    </row>
    <row r="269" spans="3:19" x14ac:dyDescent="0.2">
      <c r="D269" s="172"/>
      <c r="E269" s="333"/>
      <c r="F269" s="333"/>
      <c r="G269" s="333"/>
      <c r="H269" s="333"/>
    </row>
    <row r="270" spans="3:19" x14ac:dyDescent="0.2">
      <c r="D270" s="44" t="s">
        <v>1056</v>
      </c>
      <c r="E270" s="379"/>
      <c r="F270" s="379"/>
      <c r="G270" s="379"/>
      <c r="H270" s="379"/>
    </row>
    <row r="271" spans="3:19" x14ac:dyDescent="0.2">
      <c r="D271" s="201" t="s">
        <v>72</v>
      </c>
      <c r="E271" s="188">
        <f>E264</f>
        <v>0</v>
      </c>
      <c r="F271" s="188">
        <f>F264</f>
        <v>5</v>
      </c>
      <c r="G271" s="188">
        <f>G264</f>
        <v>10</v>
      </c>
      <c r="H271" s="188">
        <f>H264</f>
        <v>15</v>
      </c>
      <c r="I271" s="44" t="s">
        <v>19</v>
      </c>
    </row>
    <row r="272" spans="3:19" x14ac:dyDescent="0.2">
      <c r="D272" s="232" t="s">
        <v>694</v>
      </c>
      <c r="E272" s="327">
        <f>ABS(VLOOKUP(E$271,girder,10,FALSE))</f>
        <v>356.80587427481879</v>
      </c>
      <c r="F272" s="327">
        <f>ABS(VLOOKUP(F$271,girder,10,FALSE))</f>
        <v>238.47058284987921</v>
      </c>
      <c r="G272" s="327">
        <f>ABS(VLOOKUP(G$271,girder,10,FALSE))</f>
        <v>120.13529142493961</v>
      </c>
      <c r="H272" s="327">
        <f>ABS(VLOOKUP(H$271,girder,10,FALSE))</f>
        <v>7.05</v>
      </c>
      <c r="I272" s="44" t="s">
        <v>25</v>
      </c>
    </row>
    <row r="273" spans="3:12" x14ac:dyDescent="0.2">
      <c r="D273" s="232" t="s">
        <v>51</v>
      </c>
      <c r="E273" s="327">
        <f>ABS(VLOOKUP(E$271,slab,10,FALSE))</f>
        <v>218.17400000000009</v>
      </c>
      <c r="F273" s="327">
        <f>ABS(VLOOKUP(F$271,slab,10,FALSE))</f>
        <v>144.65700000000001</v>
      </c>
      <c r="G273" s="327">
        <f>ABS(VLOOKUP(G$271,slab,10,FALSE))</f>
        <v>76.580000000000013</v>
      </c>
      <c r="H273" s="327">
        <f>ABS(VLOOKUP(H$271,slab,10,FALSE))</f>
        <v>10.424000000000001</v>
      </c>
      <c r="I273" s="44" t="s">
        <v>25</v>
      </c>
    </row>
    <row r="274" spans="3:12" x14ac:dyDescent="0.2">
      <c r="D274" s="232" t="s">
        <v>692</v>
      </c>
      <c r="E274" s="327">
        <f>ABS(VLOOKUP(E$271,sidl,10,FALSE))</f>
        <v>180.07900000000001</v>
      </c>
      <c r="F274" s="327">
        <f>ABS(VLOOKUP(F$271,sidl,10,FALSE))</f>
        <v>135.245</v>
      </c>
      <c r="G274" s="327">
        <f>ABS(VLOOKUP(G$271,sidl,10,FALSE))</f>
        <v>72.257000000000005</v>
      </c>
      <c r="H274" s="327">
        <f>ABS(VLOOKUP(H$271,sidl,10,FALSE))</f>
        <v>5.08</v>
      </c>
      <c r="I274" s="44" t="s">
        <v>25</v>
      </c>
    </row>
    <row r="275" spans="3:12" x14ac:dyDescent="0.2">
      <c r="D275" s="201" t="s">
        <v>76</v>
      </c>
      <c r="E275" s="74">
        <f>ABS(VLOOKUP(E$271,vehicle,10,FALSE))</f>
        <v>381.94299999999998</v>
      </c>
      <c r="F275" s="74">
        <f>ABS(VLOOKUP(F$271,vehicle,10,FALSE))</f>
        <v>271.93400000000003</v>
      </c>
      <c r="G275" s="74">
        <f>ABS(VLOOKUP(G$271,vehicle,10,FALSE))</f>
        <v>212.24799999999999</v>
      </c>
      <c r="H275" s="74">
        <f>ABS(VLOOKUP(H$271,vehicle,10,FALSE))</f>
        <v>175.446</v>
      </c>
      <c r="I275" s="44" t="s">
        <v>25</v>
      </c>
      <c r="L275" s="44" t="s">
        <v>759</v>
      </c>
    </row>
    <row r="276" spans="3:12" x14ac:dyDescent="0.2">
      <c r="D276" s="189" t="s">
        <v>77</v>
      </c>
      <c r="E276" s="78">
        <f>SUM(E272:E275)</f>
        <v>1137.0018742748189</v>
      </c>
      <c r="F276" s="78">
        <f>SUM(F272:F275)</f>
        <v>790.30658284987931</v>
      </c>
      <c r="G276" s="78">
        <f>SUM(G272:G275)</f>
        <v>481.2202914249396</v>
      </c>
      <c r="H276" s="78">
        <f>SUM(H272:H275)</f>
        <v>198</v>
      </c>
      <c r="I276" s="44" t="s">
        <v>25</v>
      </c>
    </row>
    <row r="277" spans="3:12" x14ac:dyDescent="0.2">
      <c r="D277" s="222" t="s">
        <v>446</v>
      </c>
      <c r="E277" s="67"/>
      <c r="F277" s="157"/>
    </row>
    <row r="278" spans="3:12" x14ac:dyDescent="0.2">
      <c r="D278" s="44" t="s">
        <v>339</v>
      </c>
    </row>
    <row r="279" spans="3:12" ht="11.9" x14ac:dyDescent="0.25">
      <c r="D279" s="207" t="s">
        <v>1057</v>
      </c>
      <c r="H279" s="44" t="s">
        <v>24</v>
      </c>
      <c r="I279" s="157">
        <f>(HLOOKUP(spane/2,BM,2)+HLOOKUP(spane/2,BM,3)+HLOOKUP(spane/2,BM,4))/100</f>
        <v>5640.7031570611407</v>
      </c>
      <c r="J279" s="44" t="s">
        <v>23</v>
      </c>
    </row>
    <row r="280" spans="3:12" ht="11.9" x14ac:dyDescent="0.25">
      <c r="D280" s="207" t="s">
        <v>925</v>
      </c>
      <c r="H280" s="44" t="s">
        <v>24</v>
      </c>
      <c r="I280" s="157">
        <f>HLOOKUP(spane/2,BM,5)/100</f>
        <v>2002.335</v>
      </c>
      <c r="J280" s="44" t="s">
        <v>23</v>
      </c>
    </row>
    <row r="281" spans="3:12" x14ac:dyDescent="0.2">
      <c r="E281" s="67"/>
      <c r="F281" s="157"/>
    </row>
    <row r="282" spans="3:12" x14ac:dyDescent="0.2">
      <c r="C282" s="222" t="s">
        <v>393</v>
      </c>
    </row>
    <row r="283" spans="3:12" ht="18.8" customHeight="1" x14ac:dyDescent="0.25">
      <c r="C283" s="417" t="s">
        <v>799</v>
      </c>
      <c r="D283" s="44" t="s">
        <v>926</v>
      </c>
      <c r="H283" s="44" t="s">
        <v>24</v>
      </c>
      <c r="I283" s="157">
        <f>I279/I140*10000</f>
        <v>179.7624290167239</v>
      </c>
      <c r="J283" s="44" t="s">
        <v>915</v>
      </c>
    </row>
    <row r="284" spans="3:12" ht="13.15" x14ac:dyDescent="0.25">
      <c r="C284" s="417"/>
      <c r="D284" s="44" t="s">
        <v>927</v>
      </c>
      <c r="H284" s="44" t="s">
        <v>24</v>
      </c>
      <c r="I284" s="157">
        <f>I279/I141*10000</f>
        <v>193.40146004985925</v>
      </c>
      <c r="J284" s="44" t="s">
        <v>915</v>
      </c>
    </row>
    <row r="286" spans="3:12" ht="18.8" customHeight="1" x14ac:dyDescent="0.25">
      <c r="C286" s="418" t="s">
        <v>798</v>
      </c>
      <c r="D286" s="44" t="s">
        <v>928</v>
      </c>
      <c r="H286" s="44" t="s">
        <v>24</v>
      </c>
      <c r="I286" s="157">
        <f>I280/I140*10000</f>
        <v>63.812009475204569</v>
      </c>
      <c r="J286" s="44" t="s">
        <v>915</v>
      </c>
    </row>
    <row r="287" spans="3:12" ht="13.15" x14ac:dyDescent="0.25">
      <c r="C287" s="418"/>
      <c r="D287" s="44" t="s">
        <v>929</v>
      </c>
      <c r="H287" s="44" t="s">
        <v>24</v>
      </c>
      <c r="I287" s="157">
        <f>I280/I141*10000</f>
        <v>68.653588342822516</v>
      </c>
      <c r="J287" s="44" t="s">
        <v>915</v>
      </c>
    </row>
    <row r="289" spans="2:8" x14ac:dyDescent="0.2">
      <c r="C289" s="44" t="s">
        <v>124</v>
      </c>
    </row>
    <row r="290" spans="2:8" x14ac:dyDescent="0.2">
      <c r="C290" s="44" t="s">
        <v>49</v>
      </c>
      <c r="F290" s="44">
        <f>MIN(0.5*fck,20)*10</f>
        <v>200</v>
      </c>
    </row>
    <row r="292" spans="2:8" x14ac:dyDescent="0.2">
      <c r="C292" s="44" t="s">
        <v>120</v>
      </c>
      <c r="F292" s="44">
        <f>-F290/10</f>
        <v>-20</v>
      </c>
    </row>
    <row r="294" spans="2:8" x14ac:dyDescent="0.2">
      <c r="C294" s="44" t="s">
        <v>121</v>
      </c>
      <c r="F294" s="44">
        <f>F292</f>
        <v>-20</v>
      </c>
    </row>
    <row r="296" spans="2:8" x14ac:dyDescent="0.2">
      <c r="C296" s="44" t="s">
        <v>122</v>
      </c>
      <c r="F296" s="44">
        <f>F290</f>
        <v>200</v>
      </c>
    </row>
    <row r="298" spans="2:8" x14ac:dyDescent="0.2">
      <c r="D298" s="44" t="s">
        <v>26</v>
      </c>
    </row>
    <row r="299" spans="2:8" x14ac:dyDescent="0.2">
      <c r="D299" s="207" t="s">
        <v>27</v>
      </c>
      <c r="E299" s="44" t="s">
        <v>28</v>
      </c>
    </row>
    <row r="300" spans="2:8" x14ac:dyDescent="0.2">
      <c r="D300" s="207" t="s">
        <v>29</v>
      </c>
      <c r="E300" s="44" t="s">
        <v>30</v>
      </c>
    </row>
    <row r="301" spans="2:8" ht="11.9" x14ac:dyDescent="0.25">
      <c r="D301" s="207" t="s">
        <v>930</v>
      </c>
      <c r="E301" s="44" t="s">
        <v>31</v>
      </c>
    </row>
    <row r="302" spans="2:8" x14ac:dyDescent="0.2">
      <c r="D302" s="207" t="s">
        <v>128</v>
      </c>
      <c r="E302" s="44" t="s">
        <v>32</v>
      </c>
    </row>
    <row r="303" spans="2:8" x14ac:dyDescent="0.2">
      <c r="D303" s="207" t="s">
        <v>33</v>
      </c>
      <c r="E303" s="44" t="s">
        <v>34</v>
      </c>
    </row>
    <row r="304" spans="2:8" x14ac:dyDescent="0.2">
      <c r="B304" s="44">
        <f>(100-G304)/100</f>
        <v>0.7</v>
      </c>
      <c r="D304" s="207" t="s">
        <v>35</v>
      </c>
      <c r="E304" s="44" t="s">
        <v>36</v>
      </c>
      <c r="G304" s="80">
        <v>30</v>
      </c>
      <c r="H304" s="44" t="s">
        <v>68</v>
      </c>
    </row>
    <row r="305" spans="3:14" x14ac:dyDescent="0.2">
      <c r="D305" s="207"/>
    </row>
    <row r="306" spans="3:14" x14ac:dyDescent="0.2">
      <c r="D306" s="44" t="s">
        <v>37</v>
      </c>
    </row>
    <row r="307" spans="3:14" x14ac:dyDescent="0.2">
      <c r="D307" s="44" t="s">
        <v>399</v>
      </c>
      <c r="H307" s="44" t="s">
        <v>24</v>
      </c>
      <c r="I307" s="44">
        <v>242.68885724095239</v>
      </c>
      <c r="J307" s="44" t="s">
        <v>21</v>
      </c>
      <c r="L307" s="83" t="s">
        <v>67</v>
      </c>
      <c r="M307" s="83">
        <f>(1/I132-I307/I141)/(1/I132+I307/I140)-B304*(-I284-17.5)/(-17.5+I283+I286)</f>
        <v>-0.12103933602686312</v>
      </c>
    </row>
    <row r="308" spans="3:14" x14ac:dyDescent="0.2">
      <c r="D308" s="207" t="s">
        <v>400</v>
      </c>
      <c r="H308" s="44" t="s">
        <v>24</v>
      </c>
      <c r="I308" s="157">
        <f>I134-I309</f>
        <v>46.71052631578948</v>
      </c>
      <c r="J308" s="44" t="s">
        <v>21</v>
      </c>
    </row>
    <row r="309" spans="3:14" x14ac:dyDescent="0.2">
      <c r="D309" s="44" t="s">
        <v>112</v>
      </c>
      <c r="I309" s="157">
        <f>Cable!B24</f>
        <v>40</v>
      </c>
      <c r="J309" s="44" t="s">
        <v>21</v>
      </c>
    </row>
    <row r="310" spans="3:14" x14ac:dyDescent="0.2">
      <c r="D310" s="44" t="s">
        <v>382</v>
      </c>
    </row>
    <row r="311" spans="3:14" x14ac:dyDescent="0.2">
      <c r="C311" s="67"/>
      <c r="D311" s="207" t="s">
        <v>403</v>
      </c>
      <c r="G311" s="81"/>
      <c r="H311" s="158"/>
      <c r="I311" s="158">
        <f>(-I57+I283+I286)/(B304/Ag+B304*I308/I140)</f>
        <v>1126103.306948473</v>
      </c>
      <c r="J311" s="81" t="s">
        <v>38</v>
      </c>
      <c r="K311" s="158"/>
      <c r="L311" s="44" t="s">
        <v>401</v>
      </c>
    </row>
    <row r="312" spans="3:14" x14ac:dyDescent="0.2">
      <c r="C312" s="182"/>
      <c r="D312" s="207" t="s">
        <v>334</v>
      </c>
      <c r="H312" s="44" t="s">
        <v>24</v>
      </c>
      <c r="I312" s="44">
        <f>ROUNDUP(I311/I49,0)</f>
        <v>3</v>
      </c>
      <c r="J312" s="80"/>
      <c r="K312" s="44" t="s">
        <v>405</v>
      </c>
      <c r="L312" s="44">
        <f>I312</f>
        <v>3</v>
      </c>
    </row>
    <row r="313" spans="3:14" x14ac:dyDescent="0.2">
      <c r="C313" s="182"/>
      <c r="D313" s="207" t="s">
        <v>335</v>
      </c>
      <c r="H313" s="44" t="s">
        <v>24</v>
      </c>
      <c r="I313" s="80">
        <v>3</v>
      </c>
      <c r="J313" s="80"/>
      <c r="K313" s="44" t="s">
        <v>404</v>
      </c>
      <c r="L313" s="44">
        <f>I313</f>
        <v>3</v>
      </c>
      <c r="N313" s="44">
        <f>L313+L315</f>
        <v>3</v>
      </c>
    </row>
    <row r="314" spans="3:14" x14ac:dyDescent="0.2">
      <c r="D314" s="207" t="s">
        <v>383</v>
      </c>
      <c r="H314" s="44" t="s">
        <v>24</v>
      </c>
      <c r="I314" s="157">
        <f>I49*I313</f>
        <v>1171800</v>
      </c>
      <c r="J314" s="44" t="s">
        <v>38</v>
      </c>
      <c r="K314" s="44" t="s">
        <v>405</v>
      </c>
    </row>
    <row r="315" spans="3:14" x14ac:dyDescent="0.2">
      <c r="E315" s="67"/>
      <c r="K315" s="44" t="s">
        <v>404</v>
      </c>
      <c r="L315" s="80"/>
    </row>
    <row r="316" spans="3:14" x14ac:dyDescent="0.2">
      <c r="D316" s="222" t="s">
        <v>39</v>
      </c>
    </row>
    <row r="317" spans="3:14" x14ac:dyDescent="0.2">
      <c r="D317" s="44" t="s">
        <v>514</v>
      </c>
      <c r="H317" s="44" t="s">
        <v>24</v>
      </c>
      <c r="I317" s="227">
        <f>I99/100</f>
        <v>0.25</v>
      </c>
      <c r="J317" s="44" t="s">
        <v>19</v>
      </c>
    </row>
    <row r="318" spans="3:14" x14ac:dyDescent="0.2">
      <c r="D318" s="44" t="s">
        <v>513</v>
      </c>
      <c r="H318" s="207" t="s">
        <v>24</v>
      </c>
      <c r="I318" s="225">
        <f>MIN(I7/6+I96/100+6*I98/100,I13)</f>
        <v>2.4</v>
      </c>
      <c r="J318" s="44" t="s">
        <v>19</v>
      </c>
    </row>
    <row r="319" spans="3:14" x14ac:dyDescent="0.2">
      <c r="D319" s="44" t="s">
        <v>40</v>
      </c>
    </row>
    <row r="320" spans="3:14" x14ac:dyDescent="0.2">
      <c r="D320" s="67" t="s">
        <v>24</v>
      </c>
    </row>
    <row r="322" spans="1:28" x14ac:dyDescent="0.2">
      <c r="D322" s="67" t="s">
        <v>24</v>
      </c>
      <c r="E322" s="44">
        <f>1/I26</f>
        <v>1</v>
      </c>
    </row>
    <row r="323" spans="1:28" x14ac:dyDescent="0.2">
      <c r="G323" s="67" t="s">
        <v>377</v>
      </c>
      <c r="H323" s="44" t="s">
        <v>24</v>
      </c>
      <c r="I323" s="227">
        <f>ROUND(I318*E322,2)</f>
        <v>2.4</v>
      </c>
      <c r="J323" s="44" t="s">
        <v>19</v>
      </c>
    </row>
    <row r="324" spans="1:28" ht="11.3" thickBot="1" x14ac:dyDescent="0.25"/>
    <row r="325" spans="1:28" ht="11.3" thickBot="1" x14ac:dyDescent="0.25">
      <c r="A325" s="209" t="s">
        <v>0</v>
      </c>
      <c r="B325" s="210" t="s">
        <v>1</v>
      </c>
      <c r="P325" s="157">
        <f>I358-A326</f>
        <v>0</v>
      </c>
    </row>
    <row r="326" spans="1:28" ht="12.55" x14ac:dyDescent="0.2">
      <c r="A326" s="211">
        <f t="shared" ref="A326:B332" si="38">A101</f>
        <v>0</v>
      </c>
      <c r="B326" s="211">
        <f t="shared" si="38"/>
        <v>0</v>
      </c>
      <c r="L326" s="131"/>
      <c r="M326" s="131"/>
      <c r="N326" s="131" t="s">
        <v>2</v>
      </c>
      <c r="O326" s="131" t="s">
        <v>3</v>
      </c>
      <c r="P326" s="131" t="s">
        <v>907</v>
      </c>
      <c r="Q326" s="131" t="s">
        <v>4</v>
      </c>
      <c r="R326" s="131" t="s">
        <v>908</v>
      </c>
      <c r="S326" s="131" t="s">
        <v>5</v>
      </c>
      <c r="T326" s="44">
        <f t="shared" ref="T326:T355" si="39">U326*W326</f>
        <v>0</v>
      </c>
      <c r="U326" s="67">
        <v>1</v>
      </c>
      <c r="V326" s="67"/>
      <c r="W326" s="44">
        <f>(A326-A326)</f>
        <v>0</v>
      </c>
      <c r="AB326" s="44" t="s">
        <v>22</v>
      </c>
    </row>
    <row r="327" spans="1:28" x14ac:dyDescent="0.2">
      <c r="A327" s="211">
        <f t="shared" si="38"/>
        <v>35</v>
      </c>
      <c r="B327" s="211">
        <f t="shared" si="38"/>
        <v>0</v>
      </c>
      <c r="L327" s="44">
        <f t="shared" ref="L327:L355" si="40">T326+(T327-T326)/2</f>
        <v>17.5</v>
      </c>
      <c r="M327" s="44">
        <f t="shared" ref="M327:M355" si="41">B327-B326</f>
        <v>0</v>
      </c>
      <c r="N327" s="44">
        <f t="shared" ref="N327:N355" si="42">L327*M327</f>
        <v>0</v>
      </c>
      <c r="O327" s="44">
        <f t="shared" ref="O327:O355" si="43">T326^2/2*M327+(T327-T326)/2*M327*(T326+(T327-T326)/3)</f>
        <v>0</v>
      </c>
      <c r="P327" s="44">
        <f>(B327-B326)*T326^3/12+(B327-B326)*T326*(T326/2-P325)^2+(B327-B326)*(T327-T326)^3/36+(B327-B326)*(T327-T326)/2*(T326+(T327-T326)/3-P325)^2</f>
        <v>0</v>
      </c>
      <c r="Q327" s="44">
        <f t="shared" ref="Q327:Q355" si="44">T326*(B327-B326)*(B326+(B327-B326)/2)+(T327-T326)/2*(B327-B326)*(B326+2/3*(B327-B326))</f>
        <v>0</v>
      </c>
      <c r="R327" s="44">
        <f>T326*(B327-B326)^3/12+T326*(B327-B326)*(B326+(B327-B326)/2-I359)^2+(T327-T326)*(B327-B326)^3/36+(T327-T326)/2*(B327-B326)*(B326+2/3*(B327-B326)-I359)^2</f>
        <v>0</v>
      </c>
      <c r="S327" s="213">
        <f t="shared" ref="S327:S355" si="45">T326^2/2*M327*(B326+(B327-B326)/2)+(T327-T326)/2*M327*(T326+(T327-T326)/3)*(B326+2/3*(B327-B326))</f>
        <v>0</v>
      </c>
      <c r="T327" s="44">
        <f t="shared" si="39"/>
        <v>35</v>
      </c>
      <c r="U327" s="67">
        <v>1</v>
      </c>
      <c r="V327" s="67">
        <f>IF(AND(W327=W326,B327=B326),A,1)</f>
        <v>1</v>
      </c>
      <c r="W327" s="44">
        <f>(A327-A326)</f>
        <v>35</v>
      </c>
    </row>
    <row r="328" spans="1:28" x14ac:dyDescent="0.2">
      <c r="A328" s="211">
        <f t="shared" si="38"/>
        <v>35</v>
      </c>
      <c r="B328" s="211">
        <f t="shared" si="38"/>
        <v>25</v>
      </c>
      <c r="L328" s="44">
        <f t="shared" si="40"/>
        <v>35</v>
      </c>
      <c r="M328" s="44">
        <f t="shared" si="41"/>
        <v>25</v>
      </c>
      <c r="N328" s="44">
        <f t="shared" si="42"/>
        <v>875</v>
      </c>
      <c r="O328" s="44">
        <f t="shared" si="43"/>
        <v>15312.5</v>
      </c>
      <c r="P328" s="44">
        <f>(B328-B327)*T327^3/12+(B328-B327)*T327*(T327/2-P325)^2+(B328-B327)*(T328-T327)^3/36+(B328-B327)*(T328-T327)/2*(T327+(T328-T327)/3-P325)^2</f>
        <v>357291.66666666669</v>
      </c>
      <c r="Q328" s="44">
        <f t="shared" si="44"/>
        <v>10937.5</v>
      </c>
      <c r="R328" s="44">
        <f>T327*(B328-B327)^3/12+T327*(B328-B327)*(B327+(B328-B327)/2-I359)^2+(T328-T327)*(B328-B327)^3/36+(T328-T327)/2*(B328-B327)*(B327+2/3*(B328-B327)-I359)^2</f>
        <v>12831548.262687426</v>
      </c>
      <c r="S328" s="213">
        <f t="shared" si="45"/>
        <v>191406.25</v>
      </c>
      <c r="T328" s="44">
        <f t="shared" si="39"/>
        <v>35</v>
      </c>
      <c r="U328" s="67">
        <v>1</v>
      </c>
      <c r="V328" s="67">
        <f>IF(AND(W328=W326,B328=B326),A,1)</f>
        <v>1</v>
      </c>
      <c r="W328" s="44">
        <f>(A328-A326)</f>
        <v>35</v>
      </c>
    </row>
    <row r="329" spans="1:28" x14ac:dyDescent="0.2">
      <c r="A329" s="211">
        <f t="shared" si="38"/>
        <v>15</v>
      </c>
      <c r="B329" s="211">
        <f t="shared" si="38"/>
        <v>40</v>
      </c>
      <c r="L329" s="44">
        <f t="shared" si="40"/>
        <v>25</v>
      </c>
      <c r="M329" s="44">
        <f t="shared" si="41"/>
        <v>15</v>
      </c>
      <c r="N329" s="44">
        <f t="shared" si="42"/>
        <v>375</v>
      </c>
      <c r="O329" s="44">
        <f t="shared" si="43"/>
        <v>4937.5</v>
      </c>
      <c r="P329" s="44">
        <f>(B329-B328)*T328^3/12+(B329-B328)*T328*(T328/2-P325)^2+(B329-B328)*(T329-T328)^3/36+(B329-B328)*(T329-T328)/2*(T328+(T329-T328)/3-P325)^2</f>
        <v>90625</v>
      </c>
      <c r="Q329" s="44">
        <f t="shared" si="44"/>
        <v>11812.5</v>
      </c>
      <c r="R329" s="44">
        <f>T328*(B329-B328)^3/12+T328*(B329-B328)*(B328+(B329-B328)/2-I359)^2+(T329-T328)*(B329-B328)^3/36+(T329-T328)/2*(B329-B328)*(B328+2/3*(B329-B328)-I359)^2</f>
        <v>3899161.4403114179</v>
      </c>
      <c r="S329" s="213">
        <f t="shared" si="45"/>
        <v>149843.75</v>
      </c>
      <c r="T329" s="44">
        <f t="shared" si="39"/>
        <v>15</v>
      </c>
      <c r="U329" s="67">
        <f t="shared" ref="U329:U355" si="46">IF(OR(U328=0,V329="A"),0,1)</f>
        <v>1</v>
      </c>
      <c r="V329" s="67">
        <f>IF(AND(W329=W326,B329=B326),A,1)</f>
        <v>1</v>
      </c>
      <c r="W329" s="44">
        <f>(A329-A326)</f>
        <v>15</v>
      </c>
    </row>
    <row r="330" spans="1:28" x14ac:dyDescent="0.2">
      <c r="A330" s="211">
        <f t="shared" si="38"/>
        <v>15</v>
      </c>
      <c r="B330" s="211">
        <f t="shared" si="38"/>
        <v>150</v>
      </c>
      <c r="L330" s="44">
        <f t="shared" si="40"/>
        <v>15</v>
      </c>
      <c r="M330" s="44">
        <f t="shared" si="41"/>
        <v>110</v>
      </c>
      <c r="N330" s="44">
        <f t="shared" si="42"/>
        <v>1650</v>
      </c>
      <c r="O330" s="44">
        <f t="shared" si="43"/>
        <v>12375</v>
      </c>
      <c r="P330" s="44">
        <f>(B330-B329)*T329^3/12+(B330-B329)*T329*(T329/2-P325)^2+(B330-B329)*(T330-T329)^3/36+(B330-B329)*(T330-T329)/2*(T329+(T330-T329)/3-P325)^2</f>
        <v>123750</v>
      </c>
      <c r="Q330" s="44">
        <f t="shared" si="44"/>
        <v>156750</v>
      </c>
      <c r="R330" s="44">
        <f>T329*(B330-B329)^3/12+T329*(B330-B329)*(B329+(B330-B329)/2-I359)^2+(T330-T329)*(B330-B329)^3/36+(T330-T329)/2*(B330-B329)*(B329+2/3*(B330-B329)-I359)^2</f>
        <v>4094538.2785467119</v>
      </c>
      <c r="S330" s="213">
        <f t="shared" si="45"/>
        <v>1175625</v>
      </c>
      <c r="T330" s="44">
        <f t="shared" si="39"/>
        <v>15</v>
      </c>
      <c r="U330" s="67">
        <f t="shared" si="46"/>
        <v>1</v>
      </c>
      <c r="V330" s="67">
        <f>IF(AND(W330=W326,B330=B326),"A",1)</f>
        <v>1</v>
      </c>
      <c r="W330" s="44">
        <f>(A330-A326)</f>
        <v>15</v>
      </c>
    </row>
    <row r="331" spans="1:28" x14ac:dyDescent="0.2">
      <c r="A331" s="211">
        <f t="shared" si="38"/>
        <v>35</v>
      </c>
      <c r="B331" s="211">
        <f t="shared" si="38"/>
        <v>165</v>
      </c>
      <c r="L331" s="44">
        <f t="shared" si="40"/>
        <v>25</v>
      </c>
      <c r="M331" s="44">
        <f t="shared" si="41"/>
        <v>15</v>
      </c>
      <c r="N331" s="44">
        <f t="shared" si="42"/>
        <v>375</v>
      </c>
      <c r="O331" s="44">
        <f t="shared" si="43"/>
        <v>4937.5</v>
      </c>
      <c r="P331" s="44">
        <f>(B331-B330)*T330^3/12+(B331-B330)*T330*(T330/2-P325)^2+(B331-B330)*(T331-T330)^3/36+(B331-B330)*(T331-T330)/2*(T330+(T331-T330)/3-P325)^2</f>
        <v>90625</v>
      </c>
      <c r="Q331" s="44">
        <f t="shared" si="44"/>
        <v>59437.5</v>
      </c>
      <c r="R331" s="44">
        <f>T330*(B331-B330)^3/12+T330*(B331-B330)*(B330+(B331-B330)/2-I359)^2+(T331-T330)*(B331-B330)^3/36+(T331-T330)/2*(B331-B330)*(B330+2/3*(B331-B330)-I359)^2</f>
        <v>243242.32266435999</v>
      </c>
      <c r="S331" s="213">
        <f t="shared" si="45"/>
        <v>785781.25</v>
      </c>
      <c r="T331" s="44">
        <f t="shared" si="39"/>
        <v>35</v>
      </c>
      <c r="U331" s="67">
        <f t="shared" si="46"/>
        <v>1</v>
      </c>
      <c r="V331" s="67">
        <f>IF(AND(W331=W326,B331=B326),"A",1)</f>
        <v>1</v>
      </c>
      <c r="W331" s="44">
        <f>(A331-A326)</f>
        <v>35</v>
      </c>
    </row>
    <row r="332" spans="1:28" x14ac:dyDescent="0.2">
      <c r="A332" s="211">
        <f t="shared" si="38"/>
        <v>35</v>
      </c>
      <c r="B332" s="211">
        <f t="shared" si="38"/>
        <v>180</v>
      </c>
      <c r="L332" s="44">
        <f t="shared" si="40"/>
        <v>35</v>
      </c>
      <c r="M332" s="44">
        <f t="shared" si="41"/>
        <v>15</v>
      </c>
      <c r="N332" s="44">
        <f t="shared" si="42"/>
        <v>525</v>
      </c>
      <c r="O332" s="44">
        <f t="shared" si="43"/>
        <v>9187.5</v>
      </c>
      <c r="P332" s="44">
        <f>(B332-B331)*T331^3/12+(B332-B331)*T331*(T331/2-P325)^2+(B332-B331)*(T332-T331)^3/36+(B332-B331)*(T332-T331)/2*(T331+(T332-T331)/3-P325)^2</f>
        <v>214375</v>
      </c>
      <c r="Q332" s="44">
        <f t="shared" si="44"/>
        <v>90562.5</v>
      </c>
      <c r="R332" s="44">
        <f>T331*(B332-B331)^3/12+T331*(B332-B331)*(B331+(B332-B331)/2-I359)^2+(T332-T331)*(B332-B331)^3/36+(T332-T331)/2*(B332-B331)*(B331+2/3*(B332-B331)-I359)^2</f>
        <v>813193.66349481</v>
      </c>
      <c r="S332" s="213">
        <f t="shared" si="45"/>
        <v>1584843.75</v>
      </c>
      <c r="T332" s="44">
        <f t="shared" si="39"/>
        <v>35</v>
      </c>
      <c r="U332" s="67">
        <f t="shared" si="46"/>
        <v>1</v>
      </c>
      <c r="V332" s="67">
        <f>IF(AND(W332=W326,B332=B326),"A",1)</f>
        <v>1</v>
      </c>
      <c r="W332" s="44">
        <f>(A332-A326)</f>
        <v>35</v>
      </c>
    </row>
    <row r="333" spans="1:28" x14ac:dyDescent="0.2">
      <c r="A333" s="211">
        <f>I323/2*100</f>
        <v>120</v>
      </c>
      <c r="B333" s="211">
        <f>B332</f>
        <v>180</v>
      </c>
      <c r="L333" s="44">
        <f t="shared" si="40"/>
        <v>77.5</v>
      </c>
      <c r="M333" s="44">
        <f t="shared" si="41"/>
        <v>0</v>
      </c>
      <c r="N333" s="44">
        <f t="shared" si="42"/>
        <v>0</v>
      </c>
      <c r="O333" s="44">
        <f t="shared" si="43"/>
        <v>0</v>
      </c>
      <c r="P333" s="44">
        <f>(B333-B332)*T332^3/12+(B333-B332)*T332*(T332/2-P325)^2+(B333-B332)*(T333-T332)^3/36+(B333-B332)*(T333-T332)/2*(T332+(T333-T332)/3-P325)^2</f>
        <v>0</v>
      </c>
      <c r="Q333" s="44">
        <f t="shared" si="44"/>
        <v>0</v>
      </c>
      <c r="R333" s="44">
        <f>T332*(B333-B332)^3/12+T332*(B333-B332)*(B332+(B333-B332)/2-I359)^2+(T333-T332)*(B333-B332)^3/36+(T333-T332)/2*(B333-B332)*(B332+2/3*(B333-B332)-I359)^2</f>
        <v>0</v>
      </c>
      <c r="S333" s="213">
        <f t="shared" si="45"/>
        <v>0</v>
      </c>
      <c r="T333" s="44">
        <f t="shared" si="39"/>
        <v>120</v>
      </c>
      <c r="U333" s="67">
        <f t="shared" si="46"/>
        <v>1</v>
      </c>
      <c r="V333" s="67">
        <f>IF(AND(W333=W326,B333=B326),"A",1)</f>
        <v>1</v>
      </c>
      <c r="W333" s="214">
        <f>(A333-A326)</f>
        <v>120</v>
      </c>
    </row>
    <row r="334" spans="1:28" x14ac:dyDescent="0.2">
      <c r="A334" s="211">
        <f>+A333</f>
        <v>120</v>
      </c>
      <c r="B334" s="211">
        <f>B333+I317*100</f>
        <v>205</v>
      </c>
      <c r="L334" s="44">
        <f t="shared" si="40"/>
        <v>120</v>
      </c>
      <c r="M334" s="44">
        <f t="shared" si="41"/>
        <v>25</v>
      </c>
      <c r="N334" s="44">
        <f t="shared" si="42"/>
        <v>3000</v>
      </c>
      <c r="O334" s="44">
        <f t="shared" si="43"/>
        <v>180000</v>
      </c>
      <c r="P334" s="44">
        <f>(B334-B333)*T333^3/12+(B334-B333)*T333*(T333/2-P325)^2+(B334-B333)*(T334-T333)^3/36+(B334-B333)*(T334-T333)/2*(T333+(T334-T333)/3-P325)^2</f>
        <v>14400000</v>
      </c>
      <c r="Q334" s="44">
        <f t="shared" si="44"/>
        <v>577500</v>
      </c>
      <c r="R334" s="44">
        <f>T333*(B334-B333)^3/12+T333*(B334-B333)*(B333+(B334-B333)/2-I359)^2+(T334-T333)*(B334-B333)^3/36+(T334-T333)/2*(B334-B333)*(B333+2/3*(B334-B333)-I359)^2</f>
        <v>10640938.581314882</v>
      </c>
      <c r="S334" s="213">
        <f t="shared" si="45"/>
        <v>34650000</v>
      </c>
      <c r="T334" s="44">
        <f t="shared" si="39"/>
        <v>120</v>
      </c>
      <c r="U334" s="67">
        <f t="shared" si="46"/>
        <v>1</v>
      </c>
      <c r="V334" s="67">
        <f>IF(AND(W334=W326,B334=B326),"A",1)</f>
        <v>1</v>
      </c>
      <c r="W334" s="44">
        <f>(A334-A326)</f>
        <v>120</v>
      </c>
    </row>
    <row r="335" spans="1:28" x14ac:dyDescent="0.2">
      <c r="A335" s="211">
        <f>-A333</f>
        <v>-120</v>
      </c>
      <c r="B335" s="211">
        <f>B334</f>
        <v>205</v>
      </c>
      <c r="L335" s="44">
        <f t="shared" si="40"/>
        <v>0</v>
      </c>
      <c r="M335" s="44">
        <f t="shared" si="41"/>
        <v>0</v>
      </c>
      <c r="N335" s="44">
        <f t="shared" si="42"/>
        <v>0</v>
      </c>
      <c r="O335" s="44">
        <f t="shared" si="43"/>
        <v>0</v>
      </c>
      <c r="P335" s="44">
        <f>(B335-B334)*T334^3/12+(B335-B334)*T334*(T334/2-P325)^2+(B335-B334)*(T335-T334)^3/36+(B335-B334)*(T335-T334)/2*(T334+(T335-T334)/3-P325)^2</f>
        <v>0</v>
      </c>
      <c r="Q335" s="44">
        <f t="shared" si="44"/>
        <v>0</v>
      </c>
      <c r="R335" s="44">
        <f>T334*(B335-B334)^3/12+T334*(B335-B334)*(B334+(B335-B334)/2-I359)^2+(T335-T334)*(B335-B334)^3/36+(T335-T334)/2*(B335-B334)*(B334+2/3*(B335-B334)-I359)^2</f>
        <v>0</v>
      </c>
      <c r="S335" s="213">
        <f t="shared" si="45"/>
        <v>0</v>
      </c>
      <c r="T335" s="44">
        <f t="shared" si="39"/>
        <v>-120</v>
      </c>
      <c r="U335" s="67">
        <f t="shared" si="46"/>
        <v>1</v>
      </c>
      <c r="V335" s="67">
        <f>IF(AND(W335=W326,B335=B326),"A",1)</f>
        <v>1</v>
      </c>
      <c r="W335" s="44">
        <f>(A335-A326)</f>
        <v>-120</v>
      </c>
    </row>
    <row r="336" spans="1:28" x14ac:dyDescent="0.2">
      <c r="A336" s="211">
        <f>-A334</f>
        <v>-120</v>
      </c>
      <c r="B336" s="211">
        <f>B333</f>
        <v>180</v>
      </c>
      <c r="L336" s="44">
        <f t="shared" si="40"/>
        <v>-120</v>
      </c>
      <c r="M336" s="44">
        <f t="shared" si="41"/>
        <v>-25</v>
      </c>
      <c r="N336" s="44">
        <f t="shared" si="42"/>
        <v>3000</v>
      </c>
      <c r="O336" s="44">
        <f t="shared" si="43"/>
        <v>-180000</v>
      </c>
      <c r="P336" s="44">
        <f>(B336-B335)*T335^3/12+(B336-B335)*T335*(T335/2-P325)^2+(B336-B335)*(T336-T335)^3/36+(B336-B335)*(T336-T335)/2*(T335+(T336-T335)/3-P325)^2</f>
        <v>14400000</v>
      </c>
      <c r="Q336" s="44">
        <f t="shared" si="44"/>
        <v>577500</v>
      </c>
      <c r="R336" s="44">
        <f>T335*(B336-B335)^3/12+T335*(B336-B335)*(B335+(B336-B335)/2-I359)^2+(T336-T335)*(B336-B335)^3/36+(T336-T335)/2*(B336-B335)*(B335+2/3*(B336-B335)-I359)^2</f>
        <v>10640938.581314882</v>
      </c>
      <c r="S336" s="213">
        <f t="shared" si="45"/>
        <v>-34650000</v>
      </c>
      <c r="T336" s="44">
        <f t="shared" si="39"/>
        <v>-120</v>
      </c>
      <c r="U336" s="67">
        <f t="shared" si="46"/>
        <v>1</v>
      </c>
      <c r="V336" s="67">
        <f>IF(AND(W336=W326,B336=B326),"A",1)</f>
        <v>1</v>
      </c>
      <c r="W336" s="44">
        <f>(A336-A326)</f>
        <v>-120</v>
      </c>
    </row>
    <row r="337" spans="1:23" x14ac:dyDescent="0.2">
      <c r="A337" s="211">
        <f>-A332</f>
        <v>-35</v>
      </c>
      <c r="B337" s="211">
        <f>B332</f>
        <v>180</v>
      </c>
      <c r="L337" s="44">
        <f t="shared" si="40"/>
        <v>-77.5</v>
      </c>
      <c r="M337" s="44">
        <f t="shared" si="41"/>
        <v>0</v>
      </c>
      <c r="N337" s="44">
        <f t="shared" si="42"/>
        <v>0</v>
      </c>
      <c r="O337" s="44">
        <f t="shared" si="43"/>
        <v>0</v>
      </c>
      <c r="P337" s="44">
        <f>(B337-B336)*T336^3/12+(B337-B336)*T336*(T336/2-P325)^2+(B337-B336)*(T337-T336)^3/36+(B337-B336)*(T337-T336)/2*(T336+(T337-T336)/3-P325)^2</f>
        <v>0</v>
      </c>
      <c r="Q337" s="44">
        <f t="shared" si="44"/>
        <v>0</v>
      </c>
      <c r="R337" s="44">
        <f>T336*(B337-B336)^3/12+T336*(B337-B336)*(B336+(B337-B336)/2-I359)^2+(T337-T336)*(B337-B336)^3/36+(T337-T336)/2*(B337-B336)*(B336+2/3*(B337-B336)-I359)^2</f>
        <v>0</v>
      </c>
      <c r="S337" s="213">
        <f t="shared" si="45"/>
        <v>0</v>
      </c>
      <c r="T337" s="44">
        <f t="shared" si="39"/>
        <v>-35</v>
      </c>
      <c r="U337" s="67">
        <f t="shared" si="46"/>
        <v>1</v>
      </c>
      <c r="V337" s="67">
        <f>IF(AND(W337=W326,B337=B326),"A",1)</f>
        <v>1</v>
      </c>
      <c r="W337" s="44">
        <f>(A337-A326)</f>
        <v>-35</v>
      </c>
    </row>
    <row r="338" spans="1:23" x14ac:dyDescent="0.2">
      <c r="A338" s="211">
        <f>-A331</f>
        <v>-35</v>
      </c>
      <c r="B338" s="211">
        <f>B331</f>
        <v>165</v>
      </c>
      <c r="L338" s="44">
        <f t="shared" si="40"/>
        <v>-35</v>
      </c>
      <c r="M338" s="44">
        <f t="shared" si="41"/>
        <v>-15</v>
      </c>
      <c r="N338" s="44">
        <f t="shared" si="42"/>
        <v>525</v>
      </c>
      <c r="O338" s="44">
        <f t="shared" si="43"/>
        <v>-9187.5</v>
      </c>
      <c r="P338" s="44">
        <f>(B338-B337)*T337^3/12+(B338-B337)*T337*(T337/2-P325)^2+(B338-B337)*(T338-T337)^3/36+(B338-B337)*(T338-T337)/2*(T337+(T338-T337)/3-P325)^2</f>
        <v>214375</v>
      </c>
      <c r="Q338" s="44">
        <f t="shared" si="44"/>
        <v>90562.5</v>
      </c>
      <c r="R338" s="44">
        <f>T337*(B338-B337)^3/12+T337*(B338-B337)*(B337+(B338-B337)/2-I359)^2+(T338-T337)*(B338-B337)^3/36+(T338-T337)/2*(B338-B337)*(B337+2/3*(B338-B337)-I359)^2</f>
        <v>813193.66349481</v>
      </c>
      <c r="S338" s="213">
        <f t="shared" si="45"/>
        <v>-1584843.75</v>
      </c>
      <c r="T338" s="44">
        <f t="shared" si="39"/>
        <v>-35</v>
      </c>
      <c r="U338" s="67">
        <f t="shared" si="46"/>
        <v>1</v>
      </c>
      <c r="V338" s="67">
        <f>IF(AND(W338=W326,B338=B326),"A",1)</f>
        <v>1</v>
      </c>
      <c r="W338" s="44">
        <f>(A338-A326)</f>
        <v>-35</v>
      </c>
    </row>
    <row r="339" spans="1:23" x14ac:dyDescent="0.2">
      <c r="A339" s="211">
        <f>-A330</f>
        <v>-15</v>
      </c>
      <c r="B339" s="211">
        <f>B330</f>
        <v>150</v>
      </c>
      <c r="L339" s="44">
        <f t="shared" si="40"/>
        <v>-25</v>
      </c>
      <c r="M339" s="44">
        <f t="shared" si="41"/>
        <v>-15</v>
      </c>
      <c r="N339" s="44">
        <f t="shared" si="42"/>
        <v>375</v>
      </c>
      <c r="O339" s="44">
        <f t="shared" si="43"/>
        <v>-4937.5</v>
      </c>
      <c r="P339" s="44">
        <f>(B339-B338)*T338^3/12+(B339-B338)*T338*(T338/2-P325)^2+(B339-B338)*(T339-T338)^3/36+(B339-B338)*(T339-T338)/2*(T338+(T339-T338)/3-P325)^2</f>
        <v>90625</v>
      </c>
      <c r="Q339" s="44">
        <f t="shared" si="44"/>
        <v>59437.5</v>
      </c>
      <c r="R339" s="44">
        <f>T338*(B339-B338)^3/12+T338*(B339-B338)*(B338+(B339-B338)/2-I359)^2+(T339-T338)*(B339-B338)^3/36+(T339-T338)/2*(B339-B338)*(B338+2/3*(B339-B338)-I359)^2</f>
        <v>243242.32266435999</v>
      </c>
      <c r="S339" s="213">
        <f t="shared" si="45"/>
        <v>-788281.25</v>
      </c>
      <c r="T339" s="44">
        <f t="shared" si="39"/>
        <v>-15</v>
      </c>
      <c r="U339" s="67">
        <f t="shared" si="46"/>
        <v>1</v>
      </c>
      <c r="V339" s="67">
        <f>IF(AND(W339=W326,B339=B326),"A",1)</f>
        <v>1</v>
      </c>
      <c r="W339" s="44">
        <f>(A339-A326)</f>
        <v>-15</v>
      </c>
    </row>
    <row r="340" spans="1:23" x14ac:dyDescent="0.2">
      <c r="A340" s="211">
        <f>-A329</f>
        <v>-15</v>
      </c>
      <c r="B340" s="211">
        <f>B329</f>
        <v>40</v>
      </c>
      <c r="L340" s="44">
        <f t="shared" si="40"/>
        <v>-15</v>
      </c>
      <c r="M340" s="44">
        <f t="shared" si="41"/>
        <v>-110</v>
      </c>
      <c r="N340" s="44">
        <f t="shared" si="42"/>
        <v>1650</v>
      </c>
      <c r="O340" s="44">
        <f t="shared" si="43"/>
        <v>-12375</v>
      </c>
      <c r="P340" s="44">
        <f>(B340-B339)*T339^3/12+(B340-B339)*T339*(T339/2-P325)^2+(B340-B339)*(T340-T339)^3/36+(B340-B339)*(T340-T339)/2*(T339+(T340-T339)/3-P325)^2</f>
        <v>123750</v>
      </c>
      <c r="Q340" s="44">
        <f t="shared" si="44"/>
        <v>156750</v>
      </c>
      <c r="R340" s="44">
        <f>T339*(B340-B339)^3/12+T339*(B340-B339)*(B339+(B340-B339)/2-I359)^2+(T340-T339)*(B340-B339)^3/36+(T340-T339)/2*(B340-B339)*(B339+2/3*(B340-B339)-I359)^2</f>
        <v>4094538.2785467119</v>
      </c>
      <c r="S340" s="213">
        <f t="shared" si="45"/>
        <v>-1175625</v>
      </c>
      <c r="T340" s="44">
        <f t="shared" si="39"/>
        <v>-15</v>
      </c>
      <c r="U340" s="67">
        <f t="shared" si="46"/>
        <v>1</v>
      </c>
      <c r="V340" s="67">
        <f>IF(AND(W340=W326,B340=B326),"A",1)</f>
        <v>1</v>
      </c>
      <c r="W340" s="44">
        <f>(A340-A326)</f>
        <v>-15</v>
      </c>
    </row>
    <row r="341" spans="1:23" x14ac:dyDescent="0.2">
      <c r="A341" s="211">
        <f>-A328</f>
        <v>-35</v>
      </c>
      <c r="B341" s="211">
        <f>B328</f>
        <v>25</v>
      </c>
      <c r="L341" s="44">
        <f t="shared" si="40"/>
        <v>-25</v>
      </c>
      <c r="M341" s="44">
        <f t="shared" si="41"/>
        <v>-15</v>
      </c>
      <c r="N341" s="44">
        <f t="shared" si="42"/>
        <v>375</v>
      </c>
      <c r="O341" s="44">
        <f t="shared" si="43"/>
        <v>-4937.5</v>
      </c>
      <c r="P341" s="44">
        <f>(B341-B340)*T340^3/12+(B341-B340)*T340*(T340/2-P325)^2+(B341-B340)*(T341-T340)^3/36+(B341-B340)*(T341-T340)/2*(T340+(T341-T340)/3-P325)^2</f>
        <v>90625</v>
      </c>
      <c r="Q341" s="44">
        <f t="shared" si="44"/>
        <v>11812.5</v>
      </c>
      <c r="R341" s="44">
        <f>T340*(B341-B340)^3/12+T340*(B341-B340)*(B340+(B341-B340)/2-I359)^2+(T341-T340)*(B341-B340)^3/36+(T341-T340)/2*(B341-B340)*(B340+2/3*(B341-B340)-I359)^2</f>
        <v>3899161.4403114179</v>
      </c>
      <c r="S341" s="213">
        <f t="shared" si="45"/>
        <v>-152343.75</v>
      </c>
      <c r="T341" s="44">
        <f t="shared" si="39"/>
        <v>-35</v>
      </c>
      <c r="U341" s="67">
        <f t="shared" si="46"/>
        <v>1</v>
      </c>
      <c r="V341" s="67">
        <f>IF(AND(W341=W326,B341=B326),"A",1)</f>
        <v>1</v>
      </c>
      <c r="W341" s="44">
        <f>(A341-A326)</f>
        <v>-35</v>
      </c>
    </row>
    <row r="342" spans="1:23" x14ac:dyDescent="0.2">
      <c r="A342" s="211">
        <f>-A327</f>
        <v>-35</v>
      </c>
      <c r="B342" s="211">
        <f>B327</f>
        <v>0</v>
      </c>
      <c r="L342" s="44">
        <f t="shared" si="40"/>
        <v>-35</v>
      </c>
      <c r="M342" s="44">
        <f t="shared" si="41"/>
        <v>-25</v>
      </c>
      <c r="N342" s="44">
        <f t="shared" si="42"/>
        <v>875</v>
      </c>
      <c r="O342" s="44">
        <f t="shared" si="43"/>
        <v>-15312.5</v>
      </c>
      <c r="P342" s="44">
        <f>(B342-B341)*T341^3/12+(B342-B341)*T341*(T341/2-P325)^2+(B342-B341)*(T342-T341)^3/36+(B342-B341)*(T342-T341)/2*(T341+(T342-T341)/3-P325)^2</f>
        <v>357291.66666666669</v>
      </c>
      <c r="Q342" s="44">
        <f t="shared" si="44"/>
        <v>10937.5</v>
      </c>
      <c r="R342" s="44">
        <f>T341*(B342-B341)^3/12+T341*(B342-B341)*(B341+(B342-B341)/2-I359)^2+(T342-T341)*(B342-B341)^3/36+(T342-T341)/2*(B342-B341)*(B341+2/3*(B342-B341)-I359)^2</f>
        <v>12831548.262687426</v>
      </c>
      <c r="S342" s="213">
        <f t="shared" si="45"/>
        <v>-191406.25</v>
      </c>
      <c r="T342" s="44">
        <f t="shared" si="39"/>
        <v>-35</v>
      </c>
      <c r="U342" s="67">
        <f t="shared" si="46"/>
        <v>1</v>
      </c>
      <c r="V342" s="67">
        <f>IF(AND(W342=W326,B342=B326),"A",1)</f>
        <v>1</v>
      </c>
      <c r="W342" s="44">
        <f>(A342-A326)</f>
        <v>-35</v>
      </c>
    </row>
    <row r="343" spans="1:23" x14ac:dyDescent="0.2">
      <c r="A343" s="211">
        <v>0</v>
      </c>
      <c r="B343" s="211">
        <f>B326</f>
        <v>0</v>
      </c>
      <c r="L343" s="44">
        <f t="shared" si="40"/>
        <v>-17.5</v>
      </c>
      <c r="M343" s="44">
        <f t="shared" si="41"/>
        <v>0</v>
      </c>
      <c r="N343" s="44">
        <f t="shared" si="42"/>
        <v>0</v>
      </c>
      <c r="O343" s="44">
        <f t="shared" si="43"/>
        <v>0</v>
      </c>
      <c r="P343" s="44">
        <f>(B343-B342)*T342^3/12+(B343-B342)*T342*(T342/2-P325)^2+(B343-B342)*(T343-T342)^3/36+(B343-B342)*(T343-T342)/2*(T342+(T343-T342)/3-P325)^2</f>
        <v>0</v>
      </c>
      <c r="Q343" s="44">
        <f t="shared" si="44"/>
        <v>0</v>
      </c>
      <c r="R343" s="44">
        <f>T342*(B343-B342)^3/12+T342*(B343-B342)*(B342+(B343-B342)/2-I359)^2+(T343-T342)*(B343-B342)^3/36+(T343-T342)/2*(B343-B342)*(B342+2/3*(B343-B342)-I359)^2</f>
        <v>0</v>
      </c>
      <c r="S343" s="213">
        <f t="shared" si="45"/>
        <v>0</v>
      </c>
      <c r="T343" s="44">
        <f t="shared" si="39"/>
        <v>0</v>
      </c>
      <c r="U343" s="67">
        <f t="shared" si="46"/>
        <v>0</v>
      </c>
      <c r="V343" s="67" t="str">
        <f>IF(AND(W343=W326,B343=B326),"A",1)</f>
        <v>A</v>
      </c>
      <c r="W343" s="44">
        <f>(A343-A326)</f>
        <v>0</v>
      </c>
    </row>
    <row r="344" spans="1:23" x14ac:dyDescent="0.2">
      <c r="A344" s="211">
        <v>0</v>
      </c>
      <c r="B344" s="211">
        <f>B119</f>
        <v>0</v>
      </c>
      <c r="F344" s="44" t="s">
        <v>609</v>
      </c>
      <c r="L344" s="44">
        <f t="shared" si="40"/>
        <v>0</v>
      </c>
      <c r="M344" s="44">
        <f t="shared" si="41"/>
        <v>0</v>
      </c>
      <c r="N344" s="44">
        <f t="shared" si="42"/>
        <v>0</v>
      </c>
      <c r="O344" s="44">
        <f t="shared" si="43"/>
        <v>0</v>
      </c>
      <c r="P344" s="44">
        <f>(B344-B343)*T343^3/12+(B344-B343)*T343*(T343/2-P325)^2+(B344-B343)*(T344-T343)^3/36+(B344-B343)*(T344-T343)/2*(T343+(T344-T343)/3-P325)^2</f>
        <v>0</v>
      </c>
      <c r="Q344" s="44">
        <f t="shared" si="44"/>
        <v>0</v>
      </c>
      <c r="R344" s="44">
        <f>T343*(B344-B343)^3/12+T343*(B344-B343)*(B343+(B344-B343)/2-I359)^2+(T344-T343)*(B344-B343)^3/36+(T344-T343)/2*(B344-B343)*(B343+2/3*(B344-B343)-I359)^2</f>
        <v>0</v>
      </c>
      <c r="S344" s="213">
        <f t="shared" si="45"/>
        <v>0</v>
      </c>
      <c r="T344" s="44">
        <f t="shared" si="39"/>
        <v>0</v>
      </c>
      <c r="U344" s="67">
        <f t="shared" si="46"/>
        <v>0</v>
      </c>
      <c r="V344" s="67" t="str">
        <f>IF(AND(W344=W326,B344=B326),"A",1)</f>
        <v>A</v>
      </c>
      <c r="W344" s="44">
        <f>(A344-A326)</f>
        <v>0</v>
      </c>
    </row>
    <row r="345" spans="1:23" hidden="1" x14ac:dyDescent="0.2">
      <c r="A345" s="211"/>
      <c r="B345" s="211"/>
      <c r="L345" s="44">
        <f t="shared" si="40"/>
        <v>0</v>
      </c>
      <c r="M345" s="44">
        <f t="shared" si="41"/>
        <v>0</v>
      </c>
      <c r="N345" s="44">
        <f t="shared" si="42"/>
        <v>0</v>
      </c>
      <c r="O345" s="44">
        <f t="shared" si="43"/>
        <v>0</v>
      </c>
      <c r="P345" s="44">
        <f>(B345-B344)*T344^3/12+(B345-B344)*T344*(T344/2-P325)^2+(B345-B344)*(T345-T344)^3/36+(B345-B344)*(T345-T344)/2*(T344+(T345-T344)/3-P325)^2</f>
        <v>0</v>
      </c>
      <c r="Q345" s="44">
        <f t="shared" si="44"/>
        <v>0</v>
      </c>
      <c r="R345" s="44">
        <f>T344*(B345-B344)^3/12+T344*(B345-B344)*(B344+(B345-B344)/2-I359)^2+(T345-T344)*(B345-B344)^3/36+(T345-T344)/2*(B345-B344)*(B344+2/3*(B345-B344)-I359)^2</f>
        <v>0</v>
      </c>
      <c r="S345" s="213">
        <f t="shared" si="45"/>
        <v>0</v>
      </c>
      <c r="T345" s="44">
        <f t="shared" si="39"/>
        <v>0</v>
      </c>
      <c r="U345" s="67">
        <f t="shared" si="46"/>
        <v>0</v>
      </c>
      <c r="V345" s="67" t="str">
        <f>IF(AND(W345=W326,B345=B326),"A",1)</f>
        <v>A</v>
      </c>
      <c r="W345" s="44">
        <f>(A345-A326)</f>
        <v>0</v>
      </c>
    </row>
    <row r="346" spans="1:23" hidden="1" x14ac:dyDescent="0.2">
      <c r="A346" s="211"/>
      <c r="B346" s="211"/>
      <c r="L346" s="44">
        <f t="shared" si="40"/>
        <v>0</v>
      </c>
      <c r="M346" s="44">
        <f t="shared" si="41"/>
        <v>0</v>
      </c>
      <c r="N346" s="44">
        <f t="shared" si="42"/>
        <v>0</v>
      </c>
      <c r="O346" s="44">
        <f t="shared" si="43"/>
        <v>0</v>
      </c>
      <c r="P346" s="44">
        <f>(B346-B345)*T345^3/12+(B346-B345)*T345*(T345/2-P325)^2+(B346-B345)*(T346-T345)^3/36+(B346-B345)*(T346-T345)/2*(T345+(T346-T345)/3-P325)^2</f>
        <v>0</v>
      </c>
      <c r="Q346" s="44">
        <f t="shared" si="44"/>
        <v>0</v>
      </c>
      <c r="R346" s="44">
        <f>T345*(B346-B345)^3/12+T345*(B346-B345)*(B345+(B346-B345)/2-I359)^2+(T346-T345)*(B346-B345)^3/36+(T346-T345)/2*(B346-B345)*(B345+2/3*(B346-B345)-I359)^2</f>
        <v>0</v>
      </c>
      <c r="S346" s="213">
        <f t="shared" si="45"/>
        <v>0</v>
      </c>
      <c r="T346" s="44">
        <f t="shared" si="39"/>
        <v>0</v>
      </c>
      <c r="U346" s="67">
        <f t="shared" si="46"/>
        <v>0</v>
      </c>
      <c r="V346" s="67" t="str">
        <f>IF(AND(W346=W326,B346=B326),"A",1)</f>
        <v>A</v>
      </c>
      <c r="W346" s="44">
        <f>(A346-A326)</f>
        <v>0</v>
      </c>
    </row>
    <row r="347" spans="1:23" hidden="1" x14ac:dyDescent="0.2">
      <c r="A347" s="211"/>
      <c r="B347" s="211"/>
      <c r="L347" s="44">
        <f t="shared" si="40"/>
        <v>0</v>
      </c>
      <c r="M347" s="44">
        <f t="shared" si="41"/>
        <v>0</v>
      </c>
      <c r="N347" s="44">
        <f t="shared" si="42"/>
        <v>0</v>
      </c>
      <c r="O347" s="44">
        <f t="shared" si="43"/>
        <v>0</v>
      </c>
      <c r="P347" s="44">
        <f>(B347-B346)*T346^3/12+(B347-B346)*T346*(T346/2-P325)^2+(B347-B346)*(T347-T346)^3/36+(B347-B346)*(T347-T346)/2*(T346+(T347-T346)/3-P325)^2</f>
        <v>0</v>
      </c>
      <c r="Q347" s="44">
        <f t="shared" si="44"/>
        <v>0</v>
      </c>
      <c r="R347" s="44">
        <f>T346*(B347-B346)^3/12+T346*(B347-B346)*(B346+(B347-B346)/2-I359)^2+(T347-T346)*(B347-B346)^3/36+(T347-T346)/2*(B347-B346)*(B346+2/3*(B347-B346)-I359)^2</f>
        <v>0</v>
      </c>
      <c r="S347" s="213">
        <f t="shared" si="45"/>
        <v>0</v>
      </c>
      <c r="T347" s="44">
        <f t="shared" si="39"/>
        <v>0</v>
      </c>
      <c r="U347" s="67">
        <f t="shared" si="46"/>
        <v>0</v>
      </c>
      <c r="V347" s="67" t="str">
        <f>IF(AND(W347=W326,B347=B326),"A",1)</f>
        <v>A</v>
      </c>
      <c r="W347" s="44">
        <f>(A347-A326)</f>
        <v>0</v>
      </c>
    </row>
    <row r="348" spans="1:23" hidden="1" x14ac:dyDescent="0.2">
      <c r="A348" s="211"/>
      <c r="B348" s="211"/>
      <c r="L348" s="44">
        <f t="shared" si="40"/>
        <v>0</v>
      </c>
      <c r="M348" s="44">
        <f t="shared" si="41"/>
        <v>0</v>
      </c>
      <c r="N348" s="44">
        <f t="shared" si="42"/>
        <v>0</v>
      </c>
      <c r="O348" s="44">
        <f t="shared" si="43"/>
        <v>0</v>
      </c>
      <c r="P348" s="44">
        <f>(B348-B347)*T347^3/12+(B348-B347)*T347*(T347/2-P325)^2+(B348-B347)*(T348-T347)^3/36+(B348-B347)*(T348-T347)/2*(T347+(T348-T347)/3-P325)^2</f>
        <v>0</v>
      </c>
      <c r="Q348" s="44">
        <f t="shared" si="44"/>
        <v>0</v>
      </c>
      <c r="R348" s="44">
        <f>T347*(B348-B347)^3/12+T347*(B348-B347)*(B347+(B348-B347)/2-I359)^2+(T348-T347)*(B348-B347)^3/36+(T348-T347)/2*(B348-B347)*(B347+2/3*(B348-B347)-I359)^2</f>
        <v>0</v>
      </c>
      <c r="S348" s="213">
        <f t="shared" si="45"/>
        <v>0</v>
      </c>
      <c r="T348" s="44">
        <f t="shared" si="39"/>
        <v>0</v>
      </c>
      <c r="U348" s="67">
        <f t="shared" si="46"/>
        <v>0</v>
      </c>
      <c r="V348" s="67" t="str">
        <f>IF(AND(W348=W326,B348=B326),"A",1)</f>
        <v>A</v>
      </c>
      <c r="W348" s="44">
        <f>(A348-A326)</f>
        <v>0</v>
      </c>
    </row>
    <row r="349" spans="1:23" hidden="1" x14ac:dyDescent="0.2">
      <c r="A349" s="211"/>
      <c r="B349" s="211"/>
      <c r="L349" s="44">
        <f t="shared" si="40"/>
        <v>0</v>
      </c>
      <c r="M349" s="44">
        <f t="shared" si="41"/>
        <v>0</v>
      </c>
      <c r="N349" s="44">
        <f t="shared" si="42"/>
        <v>0</v>
      </c>
      <c r="O349" s="44">
        <f t="shared" si="43"/>
        <v>0</v>
      </c>
      <c r="P349" s="44">
        <f>(B349-B348)*T348^3/12+(B349-B348)*T348*(T348/2-P325)^2+(B349-B348)*(T349-T348)^3/36+(B349-B348)*(T349-T348)/2*(T348+(T349-T348)/3-P325)^2</f>
        <v>0</v>
      </c>
      <c r="Q349" s="44">
        <f t="shared" si="44"/>
        <v>0</v>
      </c>
      <c r="R349" s="44">
        <f>T348*(B349-B348)^3/12+T348*(B349-B348)*(B348+(B349-B348)/2-I359)^2+(T349-T348)*(B349-B348)^3/36+(T349-T348)/2*(B349-B348)*(B348+2/3*(B349-B348)-I359)^2</f>
        <v>0</v>
      </c>
      <c r="S349" s="213">
        <f t="shared" si="45"/>
        <v>0</v>
      </c>
      <c r="T349" s="44">
        <f t="shared" si="39"/>
        <v>0</v>
      </c>
      <c r="U349" s="67">
        <f t="shared" si="46"/>
        <v>0</v>
      </c>
      <c r="V349" s="67" t="str">
        <f>IF(AND(W349=W326,B349=B326),"A",1)</f>
        <v>A</v>
      </c>
      <c r="W349" s="44">
        <f>(A349-A326)</f>
        <v>0</v>
      </c>
    </row>
    <row r="350" spans="1:23" hidden="1" x14ac:dyDescent="0.2">
      <c r="A350" s="216"/>
      <c r="B350" s="216"/>
      <c r="L350" s="44">
        <f t="shared" si="40"/>
        <v>0</v>
      </c>
      <c r="M350" s="44">
        <f t="shared" si="41"/>
        <v>0</v>
      </c>
      <c r="N350" s="44">
        <f t="shared" si="42"/>
        <v>0</v>
      </c>
      <c r="O350" s="44">
        <f t="shared" si="43"/>
        <v>0</v>
      </c>
      <c r="P350" s="44">
        <f>(B350-B349)*T349^3/12+(B350-B349)*T349*(T349/2-P325)^2+(B350-B349)*(T350-T349)^3/36+(B350-B349)*(T350-T349)/2*(T349+(T350-T349)/3-P325)^2</f>
        <v>0</v>
      </c>
      <c r="Q350" s="44">
        <f t="shared" si="44"/>
        <v>0</v>
      </c>
      <c r="R350" s="44">
        <f>T349*(B350-B349)^3/12+T349*(B350-B349)*(B349+(B350-B349)/2-I359)^2+(T350-T349)*(B350-B349)^3/36+(T350-T349)/2*(B350-B349)*(B349+2/3*(B350-B349)-I359)^2</f>
        <v>0</v>
      </c>
      <c r="S350" s="213">
        <f t="shared" si="45"/>
        <v>0</v>
      </c>
      <c r="T350" s="44">
        <f t="shared" si="39"/>
        <v>0</v>
      </c>
      <c r="U350" s="67">
        <f t="shared" si="46"/>
        <v>0</v>
      </c>
      <c r="V350" s="67" t="str">
        <f>IF(AND(W350=W326,B350=B326),"A",1)</f>
        <v>A</v>
      </c>
      <c r="W350" s="44">
        <f>(A350-A326)</f>
        <v>0</v>
      </c>
    </row>
    <row r="351" spans="1:23" hidden="1" x14ac:dyDescent="0.2">
      <c r="A351" s="216"/>
      <c r="B351" s="216"/>
      <c r="L351" s="44">
        <f t="shared" si="40"/>
        <v>0</v>
      </c>
      <c r="M351" s="44">
        <f t="shared" si="41"/>
        <v>0</v>
      </c>
      <c r="N351" s="44">
        <f t="shared" si="42"/>
        <v>0</v>
      </c>
      <c r="O351" s="44">
        <f t="shared" si="43"/>
        <v>0</v>
      </c>
      <c r="P351" s="44">
        <f>(B351-B350)*T350^3/12+(B351-B350)*T350*(T350/2-P325)^2+(B351-B350)*(T351-T350)^3/36+(B351-B350)*(T351-T350)/2*(T350+(T351-T350)/3-P325)^2</f>
        <v>0</v>
      </c>
      <c r="Q351" s="44">
        <f t="shared" si="44"/>
        <v>0</v>
      </c>
      <c r="R351" s="44">
        <f>T350*(B351-B350)^3/12+T350*(B351-B350)*(B350+(B351-B350)/2-I359)^2+(T351-T350)*(B351-B350)^3/36+(T351-T350)/2*(B351-B350)*(B350+2/3*(B351-B350)-I359)^2</f>
        <v>0</v>
      </c>
      <c r="S351" s="213">
        <f t="shared" si="45"/>
        <v>0</v>
      </c>
      <c r="T351" s="44">
        <f t="shared" si="39"/>
        <v>0</v>
      </c>
      <c r="U351" s="67">
        <f t="shared" si="46"/>
        <v>0</v>
      </c>
      <c r="V351" s="67" t="str">
        <f>IF(AND(W351=W326,B351=B326),"A",1)</f>
        <v>A</v>
      </c>
      <c r="W351" s="44">
        <f>(A351-A326)</f>
        <v>0</v>
      </c>
    </row>
    <row r="352" spans="1:23" hidden="1" x14ac:dyDescent="0.2">
      <c r="A352" s="216"/>
      <c r="B352" s="216"/>
      <c r="L352" s="44">
        <f t="shared" si="40"/>
        <v>0</v>
      </c>
      <c r="M352" s="44">
        <f t="shared" si="41"/>
        <v>0</v>
      </c>
      <c r="N352" s="44">
        <f t="shared" si="42"/>
        <v>0</v>
      </c>
      <c r="O352" s="44">
        <f t="shared" si="43"/>
        <v>0</v>
      </c>
      <c r="P352" s="44">
        <f>(B352-B351)*T351^3/12+(B352-B351)*T351*(T351/2-P325)^2+(B352-B351)*(T352-T351)^3/36+(B352-B351)*(T352-T351)/2*(T351+(T352-T351)/3-P325)^2</f>
        <v>0</v>
      </c>
      <c r="Q352" s="44">
        <f t="shared" si="44"/>
        <v>0</v>
      </c>
      <c r="R352" s="44">
        <f>T351*(B352-B351)^3/12+T351*(B352-B351)*(B351+(B352-B351)/2-I359)^2+(T352-T351)*(B352-B351)^3/36+(T352-T351)/2*(B352-B351)*(B351+2/3*(B352-B351)-I359)^2</f>
        <v>0</v>
      </c>
      <c r="S352" s="213">
        <f t="shared" si="45"/>
        <v>0</v>
      </c>
      <c r="T352" s="44">
        <f t="shared" si="39"/>
        <v>0</v>
      </c>
      <c r="U352" s="67">
        <f t="shared" si="46"/>
        <v>0</v>
      </c>
      <c r="V352" s="67" t="str">
        <f>IF(AND(W352=W326,B352=B326),"A",1)</f>
        <v>A</v>
      </c>
      <c r="W352" s="44">
        <f>(A352-A326)</f>
        <v>0</v>
      </c>
    </row>
    <row r="353" spans="1:28" hidden="1" x14ac:dyDescent="0.2">
      <c r="A353" s="216"/>
      <c r="B353" s="216"/>
      <c r="L353" s="44">
        <f t="shared" si="40"/>
        <v>0</v>
      </c>
      <c r="M353" s="44">
        <f t="shared" si="41"/>
        <v>0</v>
      </c>
      <c r="N353" s="44">
        <f t="shared" si="42"/>
        <v>0</v>
      </c>
      <c r="O353" s="44">
        <f t="shared" si="43"/>
        <v>0</v>
      </c>
      <c r="P353" s="44">
        <f>(B353-B352)*T352^3/12+(B353-B352)*T352*(T352/2-P325)^2+(B353-B352)*(T353-T352)^3/36+(B353-B352)*(T353-T352)/2*(T352+(T353-T352)/3-P325)^2</f>
        <v>0</v>
      </c>
      <c r="Q353" s="44">
        <f t="shared" si="44"/>
        <v>0</v>
      </c>
      <c r="R353" s="44">
        <f>T352*(B353-B352)^3/12+T352*(B353-B352)*(B352+(B353-B352)/2-I359)^2+(T353-T352)*(B353-B352)^3/36+(T353-T352)/2*(B353-B352)*(B352+2/3*(B353-B352)-I359)^2</f>
        <v>0</v>
      </c>
      <c r="S353" s="213">
        <f t="shared" si="45"/>
        <v>0</v>
      </c>
      <c r="T353" s="44">
        <f t="shared" si="39"/>
        <v>0</v>
      </c>
      <c r="U353" s="67">
        <f t="shared" si="46"/>
        <v>0</v>
      </c>
      <c r="V353" s="67" t="str">
        <f>IF(AND(W353=W326,B353=B326),"A",1)</f>
        <v>A</v>
      </c>
      <c r="W353" s="44">
        <f>(A353-A326)</f>
        <v>0</v>
      </c>
    </row>
    <row r="354" spans="1:28" hidden="1" x14ac:dyDescent="0.2">
      <c r="A354" s="216"/>
      <c r="B354" s="216"/>
      <c r="L354" s="44">
        <f t="shared" si="40"/>
        <v>0</v>
      </c>
      <c r="M354" s="44">
        <f t="shared" si="41"/>
        <v>0</v>
      </c>
      <c r="N354" s="44">
        <f t="shared" si="42"/>
        <v>0</v>
      </c>
      <c r="O354" s="44">
        <f t="shared" si="43"/>
        <v>0</v>
      </c>
      <c r="P354" s="44">
        <f>(B354-B353)*T353^3/12+(B354-B353)*T353*(T353/2-P325)^2+(B354-B353)*(T354-T353)^3/36+(B354-B353)*(T354-T353)/2*(T353+(T354-T353)/3-P325)^2</f>
        <v>0</v>
      </c>
      <c r="Q354" s="44">
        <f t="shared" si="44"/>
        <v>0</v>
      </c>
      <c r="R354" s="44">
        <f>T353*(B354-B353)^3/12+T353*(B354-B353)*(B353+(B354-B353)/2-I359)^2+(T354-T353)*(B354-B353)^3/36+(T354-T353)/2*(B354-B353)*(B353+2/3*(B354-B353)-I359)^2</f>
        <v>0</v>
      </c>
      <c r="S354" s="213">
        <f t="shared" si="45"/>
        <v>0</v>
      </c>
      <c r="T354" s="44">
        <f t="shared" si="39"/>
        <v>0</v>
      </c>
      <c r="U354" s="67">
        <f t="shared" si="46"/>
        <v>0</v>
      </c>
      <c r="V354" s="67" t="str">
        <f>IF(AND(W354=W326,B354=B326),"A",1)</f>
        <v>A</v>
      </c>
      <c r="W354" s="44">
        <f>(A354-A326)</f>
        <v>0</v>
      </c>
    </row>
    <row r="355" spans="1:28" hidden="1" x14ac:dyDescent="0.2">
      <c r="A355" s="216"/>
      <c r="B355" s="216"/>
      <c r="L355" s="44">
        <f t="shared" si="40"/>
        <v>0</v>
      </c>
      <c r="M355" s="44">
        <f t="shared" si="41"/>
        <v>0</v>
      </c>
      <c r="N355" s="44">
        <f t="shared" si="42"/>
        <v>0</v>
      </c>
      <c r="O355" s="44">
        <f t="shared" si="43"/>
        <v>0</v>
      </c>
      <c r="P355" s="44">
        <f>(B355-B354)*T354^3/12+(B355-B354)*T354*(T354/2-P325)^2+(B355-B354)*(T355-T354)^3/36+(B355-B354)*(T355-T354)/2*(T354+(T355-T354)/3-P325)^2</f>
        <v>0</v>
      </c>
      <c r="Q355" s="44">
        <f t="shared" si="44"/>
        <v>0</v>
      </c>
      <c r="R355" s="44">
        <f>T354*(B355-B354)^3/12+T354*(B355-B354)*(B354+(B355-B354)/2-I359)^2+(T355-T354)*(B355-B354)^3/36+(T355-T354)/2*(B355-B354)*(B354+2/3*(B355-B354)-I359)^2</f>
        <v>0</v>
      </c>
      <c r="S355" s="213">
        <f t="shared" si="45"/>
        <v>0</v>
      </c>
      <c r="T355" s="44">
        <f t="shared" si="39"/>
        <v>0</v>
      </c>
      <c r="U355" s="67">
        <f t="shared" si="46"/>
        <v>0</v>
      </c>
      <c r="V355" s="67" t="str">
        <f>IF(AND(W355=W326,B355=B326),"A",1)</f>
        <v>A</v>
      </c>
      <c r="W355" s="44">
        <f>(A355-A326)</f>
        <v>0</v>
      </c>
    </row>
    <row r="356" spans="1:28" hidden="1" x14ac:dyDescent="0.2">
      <c r="N356" s="214">
        <f t="shared" ref="N356:S356" si="47">SUM(N327:N355)</f>
        <v>13600</v>
      </c>
      <c r="O356" s="44">
        <f t="shared" si="47"/>
        <v>0</v>
      </c>
      <c r="P356" s="217">
        <f t="shared" si="47"/>
        <v>30553333.333333332</v>
      </c>
      <c r="Q356" s="44">
        <f t="shared" si="47"/>
        <v>1814000</v>
      </c>
      <c r="R356" s="44">
        <f t="shared" si="47"/>
        <v>65045245.098039225</v>
      </c>
      <c r="S356" s="213">
        <f t="shared" si="47"/>
        <v>-5000</v>
      </c>
    </row>
    <row r="357" spans="1:28" ht="12.55" x14ac:dyDescent="0.2">
      <c r="C357" s="207"/>
      <c r="D357" s="207" t="s">
        <v>47</v>
      </c>
      <c r="H357" s="44" t="s">
        <v>24</v>
      </c>
      <c r="I357" s="44">
        <f>ABS(N356)</f>
        <v>13600</v>
      </c>
      <c r="J357" s="44" t="s">
        <v>909</v>
      </c>
      <c r="Q357" s="67"/>
      <c r="S357" s="213"/>
    </row>
    <row r="358" spans="1:28" x14ac:dyDescent="0.2">
      <c r="C358" s="207"/>
      <c r="D358" s="207" t="s">
        <v>378</v>
      </c>
      <c r="H358" s="44" t="s">
        <v>24</v>
      </c>
      <c r="I358" s="157">
        <f>A326+O356/N356</f>
        <v>0</v>
      </c>
      <c r="J358" s="44" t="s">
        <v>21</v>
      </c>
      <c r="Q358" s="67"/>
      <c r="S358" s="213"/>
    </row>
    <row r="359" spans="1:28" x14ac:dyDescent="0.2">
      <c r="C359" s="207"/>
      <c r="D359" s="207" t="s">
        <v>379</v>
      </c>
      <c r="H359" s="44" t="s">
        <v>24</v>
      </c>
      <c r="I359" s="157">
        <f>Q356/N356</f>
        <v>133.38235294117646</v>
      </c>
      <c r="J359" s="44" t="s">
        <v>21</v>
      </c>
      <c r="S359" s="213"/>
    </row>
    <row r="360" spans="1:28" ht="12.55" x14ac:dyDescent="0.2">
      <c r="D360" s="207" t="s">
        <v>380</v>
      </c>
      <c r="H360" s="44" t="s">
        <v>24</v>
      </c>
      <c r="I360" s="220">
        <f>ABS(R356)</f>
        <v>65045245.098039225</v>
      </c>
      <c r="J360" s="44" t="s">
        <v>910</v>
      </c>
      <c r="S360" s="218"/>
    </row>
    <row r="361" spans="1:28" ht="12.55" x14ac:dyDescent="0.2">
      <c r="D361" s="207" t="s">
        <v>381</v>
      </c>
      <c r="H361" s="44" t="s">
        <v>24</v>
      </c>
      <c r="I361" s="220">
        <f>ABS(P356)</f>
        <v>30553333.333333332</v>
      </c>
      <c r="J361" s="44" t="s">
        <v>910</v>
      </c>
      <c r="R361" s="131"/>
    </row>
    <row r="362" spans="1:28" ht="12.55" x14ac:dyDescent="0.2">
      <c r="D362" s="207" t="s">
        <v>273</v>
      </c>
      <c r="H362" s="44" t="s">
        <v>24</v>
      </c>
      <c r="I362" s="220">
        <f>I360/(I359)</f>
        <v>487660.05145167228</v>
      </c>
      <c r="J362" s="44" t="s">
        <v>913</v>
      </c>
    </row>
    <row r="363" spans="1:28" ht="12.55" x14ac:dyDescent="0.2">
      <c r="D363" s="207" t="s">
        <v>270</v>
      </c>
      <c r="H363" s="44" t="s">
        <v>24</v>
      </c>
      <c r="I363" s="220">
        <f>I360/(B332-I359)</f>
        <v>1395292.3238696109</v>
      </c>
      <c r="J363" s="44" t="s">
        <v>913</v>
      </c>
    </row>
    <row r="364" spans="1:28" ht="12.55" x14ac:dyDescent="0.2">
      <c r="D364" s="207" t="s">
        <v>814</v>
      </c>
      <c r="H364" s="44" t="s">
        <v>24</v>
      </c>
      <c r="I364" s="220">
        <f>I360/(B334-I359)</f>
        <v>908229.2950034223</v>
      </c>
      <c r="J364" s="44" t="s">
        <v>913</v>
      </c>
    </row>
    <row r="365" spans="1:28" ht="11.3" thickBot="1" x14ac:dyDescent="0.25">
      <c r="D365" s="207"/>
      <c r="I365" s="220"/>
    </row>
    <row r="366" spans="1:28" ht="11.3" thickBot="1" x14ac:dyDescent="0.25">
      <c r="A366" s="209" t="s">
        <v>0</v>
      </c>
      <c r="B366" s="210" t="s">
        <v>1</v>
      </c>
      <c r="P366" s="157">
        <f>I399-A367</f>
        <v>0</v>
      </c>
    </row>
    <row r="367" spans="1:28" ht="12.55" x14ac:dyDescent="0.2">
      <c r="A367" s="211">
        <f t="shared" ref="A367:B369" si="48">A326</f>
        <v>0</v>
      </c>
      <c r="B367" s="211">
        <f t="shared" si="48"/>
        <v>0</v>
      </c>
      <c r="L367" s="131"/>
      <c r="M367" s="131"/>
      <c r="N367" s="131" t="s">
        <v>2</v>
      </c>
      <c r="O367" s="131" t="s">
        <v>3</v>
      </c>
      <c r="P367" s="131" t="s">
        <v>907</v>
      </c>
      <c r="Q367" s="131" t="s">
        <v>4</v>
      </c>
      <c r="R367" s="131" t="s">
        <v>908</v>
      </c>
      <c r="S367" s="131" t="s">
        <v>5</v>
      </c>
      <c r="T367" s="44">
        <f t="shared" ref="T367:T396" si="49">U367*W367</f>
        <v>0</v>
      </c>
      <c r="U367" s="67">
        <v>1</v>
      </c>
      <c r="V367" s="67"/>
      <c r="W367" s="44">
        <f>(A367-A367)</f>
        <v>0</v>
      </c>
      <c r="AB367" s="44" t="s">
        <v>22</v>
      </c>
    </row>
    <row r="368" spans="1:28" x14ac:dyDescent="0.2">
      <c r="A368" s="211">
        <f t="shared" si="48"/>
        <v>35</v>
      </c>
      <c r="B368" s="211">
        <f t="shared" si="48"/>
        <v>0</v>
      </c>
      <c r="L368" s="44">
        <f t="shared" ref="L368:L396" si="50">T367+(T368-T367)/2</f>
        <v>17.5</v>
      </c>
      <c r="M368" s="44">
        <f t="shared" ref="M368:M396" si="51">B368-B367</f>
        <v>0</v>
      </c>
      <c r="N368" s="44">
        <f t="shared" ref="N368:N396" si="52">L368*M368</f>
        <v>0</v>
      </c>
      <c r="O368" s="44">
        <f t="shared" ref="O368:O396" si="53">T367^2/2*M368+(T368-T367)/2*M368*(T367+(T368-T367)/3)</f>
        <v>0</v>
      </c>
      <c r="P368" s="44">
        <f>(B368-B367)*T367^3/12+(B368-B367)*T367*(T367/2-P366)^2+(B368-B367)*(T368-T367)^3/36+(B368-B367)*(T368-T367)/2*(T367+(T368-T367)/3-P366)^2</f>
        <v>0</v>
      </c>
      <c r="Q368" s="44">
        <f t="shared" ref="Q368:Q396" si="54">T367*(B368-B367)*(B367+(B368-B367)/2)+(T368-T367)/2*(B368-B367)*(B367+2/3*(B368-B367))</f>
        <v>0</v>
      </c>
      <c r="R368" s="44">
        <f>T367*(B368-B367)^3/12+T367*(B368-B367)*(B367+(B368-B367)/2-I400)^2+(T368-T367)*(B368-B367)^3/36+(T368-T367)/2*(B368-B367)*(B367+2/3*(B368-B367)-I400)^2</f>
        <v>0</v>
      </c>
      <c r="S368" s="213">
        <f t="shared" ref="S368:S396" si="55">T367^2/2*M368*(B367+(B368-B367)/2)+(T368-T367)/2*M368*(T367+(T368-T367)/3)*(B367+2/3*(B368-B367))</f>
        <v>0</v>
      </c>
      <c r="T368" s="44">
        <f t="shared" si="49"/>
        <v>35</v>
      </c>
      <c r="U368" s="67">
        <v>1</v>
      </c>
      <c r="V368" s="67">
        <f>IF(AND(W368=W367,B368=B367),A,1)</f>
        <v>1</v>
      </c>
      <c r="W368" s="44">
        <f>(A368-A367)</f>
        <v>35</v>
      </c>
    </row>
    <row r="369" spans="1:23" x14ac:dyDescent="0.2">
      <c r="A369" s="211">
        <f t="shared" si="48"/>
        <v>35</v>
      </c>
      <c r="B369" s="211">
        <f t="shared" si="48"/>
        <v>25</v>
      </c>
      <c r="L369" s="44">
        <f t="shared" si="50"/>
        <v>35</v>
      </c>
      <c r="M369" s="44">
        <f t="shared" si="51"/>
        <v>25</v>
      </c>
      <c r="N369" s="44">
        <f t="shared" si="52"/>
        <v>875</v>
      </c>
      <c r="O369" s="44">
        <f t="shared" si="53"/>
        <v>15312.5</v>
      </c>
      <c r="P369" s="44">
        <f>(B369-B368)*T368^3/12+(B369-B368)*T368*(T368/2-P366)^2+(B369-B368)*(T369-T368)^3/36+(B369-B368)*(T369-T368)/2*(T368+(T369-T368)/3-P366)^2</f>
        <v>357291.66666666669</v>
      </c>
      <c r="Q369" s="44">
        <f t="shared" si="54"/>
        <v>10937.5</v>
      </c>
      <c r="R369" s="44">
        <f>T368*(B369-B368)^3/12+T368*(B369-B368)*(B368+(B369-B368)/2-I400)^2+(T369-T368)*(B369-B368)^3/36+(T369-T368)/2*(B369-B368)*(B368+2/3*(B369-B368)-I400)^2</f>
        <v>10742021.11515782</v>
      </c>
      <c r="S369" s="213">
        <f t="shared" si="55"/>
        <v>191406.25</v>
      </c>
      <c r="T369" s="44">
        <f t="shared" si="49"/>
        <v>35</v>
      </c>
      <c r="U369" s="67">
        <v>1</v>
      </c>
      <c r="V369" s="67">
        <f>IF(AND(W369=W367,B369=B367),A,1)</f>
        <v>1</v>
      </c>
      <c r="W369" s="44">
        <f>(A369-A367)</f>
        <v>35</v>
      </c>
    </row>
    <row r="370" spans="1:23" x14ac:dyDescent="0.2">
      <c r="A370" s="211">
        <f>A369</f>
        <v>35</v>
      </c>
      <c r="B370" s="211">
        <f t="shared" ref="B370:B385" si="56">B329</f>
        <v>40</v>
      </c>
      <c r="L370" s="44">
        <f t="shared" si="50"/>
        <v>35</v>
      </c>
      <c r="M370" s="44">
        <f t="shared" si="51"/>
        <v>15</v>
      </c>
      <c r="N370" s="44">
        <f t="shared" si="52"/>
        <v>525</v>
      </c>
      <c r="O370" s="44">
        <f t="shared" si="53"/>
        <v>9187.5</v>
      </c>
      <c r="P370" s="44">
        <f>(B370-B369)*T369^3/12+(B370-B369)*T369*(T369/2-P366)^2+(B370-B369)*(T370-T369)^3/36+(B370-B369)*(T370-T369)/2*(T369+(T370-T369)/3-P366)^2</f>
        <v>214375</v>
      </c>
      <c r="Q370" s="44">
        <f t="shared" si="54"/>
        <v>17062.5</v>
      </c>
      <c r="R370" s="44">
        <f>T369*(B370-B369)^3/12+T369*(B370-B369)*(B369+(B370-B369)/2-I400)^2+(T370-T369)*(B370-B369)^3/36+(T370-T369)/2*(B370-B369)*(B369+2/3*(B370-B369)-I400)^2</f>
        <v>4315857.8303850153</v>
      </c>
      <c r="S370" s="213">
        <f t="shared" si="55"/>
        <v>298593.75</v>
      </c>
      <c r="T370" s="44">
        <f t="shared" si="49"/>
        <v>35</v>
      </c>
      <c r="U370" s="67">
        <f t="shared" ref="U370:U396" si="57">IF(OR(U369=0,V370="A"),0,1)</f>
        <v>1</v>
      </c>
      <c r="V370" s="67">
        <f>IF(AND(W370=W367,B370=B367),A,1)</f>
        <v>1</v>
      </c>
      <c r="W370" s="44">
        <f>(A370-A367)</f>
        <v>35</v>
      </c>
    </row>
    <row r="371" spans="1:23" x14ac:dyDescent="0.2">
      <c r="A371" s="211">
        <f>A370</f>
        <v>35</v>
      </c>
      <c r="B371" s="211">
        <f t="shared" si="56"/>
        <v>150</v>
      </c>
      <c r="L371" s="44">
        <f t="shared" si="50"/>
        <v>35</v>
      </c>
      <c r="M371" s="44">
        <f t="shared" si="51"/>
        <v>110</v>
      </c>
      <c r="N371" s="44">
        <f t="shared" si="52"/>
        <v>3850</v>
      </c>
      <c r="O371" s="44">
        <f t="shared" si="53"/>
        <v>67375</v>
      </c>
      <c r="P371" s="44">
        <f>(B371-B370)*T370^3/12+(B371-B370)*T370*(T370/2-P366)^2+(B371-B370)*(T371-T370)^3/36+(B371-B370)*(T371-T370)/2*(T370+(T371-T370)/3-P366)^2</f>
        <v>1572083.3333333333</v>
      </c>
      <c r="Q371" s="44">
        <f t="shared" si="54"/>
        <v>365750</v>
      </c>
      <c r="R371" s="44">
        <f>T370*(B371-B370)^3/12+T370*(B371-B370)*(B370+(B371-B370)/2-I400)^2+(T371-T370)*(B371-B370)^3/36+(T371-T370)/2*(B371-B370)*(B370+2/3*(B371-B370)-I400)^2</f>
        <v>6914409.0357266739</v>
      </c>
      <c r="S371" s="213">
        <f t="shared" si="55"/>
        <v>6400625</v>
      </c>
      <c r="T371" s="44">
        <f t="shared" si="49"/>
        <v>35</v>
      </c>
      <c r="U371" s="67">
        <f t="shared" si="57"/>
        <v>1</v>
      </c>
      <c r="V371" s="67">
        <f>IF(AND(W371=W367,B371=B367),"A",1)</f>
        <v>1</v>
      </c>
      <c r="W371" s="44">
        <f>(A371-A367)</f>
        <v>35</v>
      </c>
    </row>
    <row r="372" spans="1:23" x14ac:dyDescent="0.2">
      <c r="A372" s="211">
        <f t="shared" ref="A372:A379" si="58">A331</f>
        <v>35</v>
      </c>
      <c r="B372" s="211">
        <f t="shared" si="56"/>
        <v>165</v>
      </c>
      <c r="L372" s="44">
        <f t="shared" si="50"/>
        <v>35</v>
      </c>
      <c r="M372" s="44">
        <f t="shared" si="51"/>
        <v>15</v>
      </c>
      <c r="N372" s="44">
        <f t="shared" si="52"/>
        <v>525</v>
      </c>
      <c r="O372" s="44">
        <f t="shared" si="53"/>
        <v>9187.5</v>
      </c>
      <c r="P372" s="44">
        <f>(B372-B371)*T371^3/12+(B372-B371)*T371*(T371/2-P366)^2+(B372-B371)*(T372-T371)^3/36+(B372-B371)*(T372-T371)/2*(T371+(T372-T371)/3-P366)^2</f>
        <v>214375</v>
      </c>
      <c r="Q372" s="44">
        <f t="shared" si="54"/>
        <v>82687.5</v>
      </c>
      <c r="R372" s="44">
        <f>T371*(B372-B371)^3/12+T371*(B372-B371)*(B371+(B372-B371)/2-I400)^2+(T372-T371)*(B372-B371)^3/36+(T372-T371)/2*(B372-B371)*(B371+2/3*(B372-B371)-I400)^2</f>
        <v>632390.08844953182</v>
      </c>
      <c r="S372" s="213">
        <f t="shared" si="55"/>
        <v>1447031.25</v>
      </c>
      <c r="T372" s="44">
        <f t="shared" si="49"/>
        <v>35</v>
      </c>
      <c r="U372" s="67">
        <f t="shared" si="57"/>
        <v>1</v>
      </c>
      <c r="V372" s="67">
        <f>IF(AND(W372=W367,B372=B367),"A",1)</f>
        <v>1</v>
      </c>
      <c r="W372" s="44">
        <f>(A372-A367)</f>
        <v>35</v>
      </c>
    </row>
    <row r="373" spans="1:23" x14ac:dyDescent="0.2">
      <c r="A373" s="211">
        <f t="shared" si="58"/>
        <v>35</v>
      </c>
      <c r="B373" s="211">
        <f t="shared" si="56"/>
        <v>180</v>
      </c>
      <c r="L373" s="44">
        <f t="shared" si="50"/>
        <v>35</v>
      </c>
      <c r="M373" s="44">
        <f t="shared" si="51"/>
        <v>15</v>
      </c>
      <c r="N373" s="44">
        <f t="shared" si="52"/>
        <v>525</v>
      </c>
      <c r="O373" s="44">
        <f t="shared" si="53"/>
        <v>9187.5</v>
      </c>
      <c r="P373" s="44">
        <f>(B373-B372)*T372^3/12+(B373-B372)*T372*(T372/2-P366)^2+(B373-B372)*(T373-T372)^3/36+(B373-B372)*(T373-T372)/2*(T372+(T373-T372)/3-P366)^2</f>
        <v>214375</v>
      </c>
      <c r="Q373" s="44">
        <f t="shared" si="54"/>
        <v>90562.5</v>
      </c>
      <c r="R373" s="44">
        <f>T372*(B373-B372)^3/12+T372*(B373-B372)*(B372+(B373-B372)/2-I400)^2+(T373-T372)*(B373-B372)^3/36+(T373-T372)/2*(B373-B372)*(B372+2/3*(B373-B372)-I400)^2</f>
        <v>1292873.9594172738</v>
      </c>
      <c r="S373" s="213">
        <f t="shared" si="55"/>
        <v>1584843.75</v>
      </c>
      <c r="T373" s="44">
        <f t="shared" si="49"/>
        <v>35</v>
      </c>
      <c r="U373" s="67">
        <f t="shared" si="57"/>
        <v>1</v>
      </c>
      <c r="V373" s="67">
        <f>IF(AND(W373=W367,B373=B367),"A",1)</f>
        <v>1</v>
      </c>
      <c r="W373" s="44">
        <f>(A373-A367)</f>
        <v>35</v>
      </c>
    </row>
    <row r="374" spans="1:23" x14ac:dyDescent="0.2">
      <c r="A374" s="211">
        <f t="shared" si="58"/>
        <v>120</v>
      </c>
      <c r="B374" s="211">
        <f t="shared" si="56"/>
        <v>180</v>
      </c>
      <c r="L374" s="44">
        <f t="shared" si="50"/>
        <v>77.5</v>
      </c>
      <c r="M374" s="44">
        <f t="shared" si="51"/>
        <v>0</v>
      </c>
      <c r="N374" s="44">
        <f t="shared" si="52"/>
        <v>0</v>
      </c>
      <c r="O374" s="44">
        <f t="shared" si="53"/>
        <v>0</v>
      </c>
      <c r="P374" s="44">
        <f>(B374-B373)*T373^3/12+(B374-B373)*T373*(T373/2-P366)^2+(B374-B373)*(T374-T373)^3/36+(B374-B373)*(T374-T373)/2*(T373+(T374-T373)/3-P366)^2</f>
        <v>0</v>
      </c>
      <c r="Q374" s="44">
        <f t="shared" si="54"/>
        <v>0</v>
      </c>
      <c r="R374" s="44">
        <f>T373*(B374-B373)^3/12+T373*(B374-B373)*(B373+(B374-B373)/2-I400)^2+(T374-T373)*(B374-B373)^3/36+(T374-T373)/2*(B374-B373)*(B373+2/3*(B374-B373)-I400)^2</f>
        <v>0</v>
      </c>
      <c r="S374" s="213">
        <f t="shared" si="55"/>
        <v>0</v>
      </c>
      <c r="T374" s="44">
        <f t="shared" si="49"/>
        <v>120</v>
      </c>
      <c r="U374" s="67">
        <f t="shared" si="57"/>
        <v>1</v>
      </c>
      <c r="V374" s="67">
        <f>IF(AND(W374=W367,B374=B367),"A",1)</f>
        <v>1</v>
      </c>
      <c r="W374" s="214">
        <f>(A374-A367)</f>
        <v>120</v>
      </c>
    </row>
    <row r="375" spans="1:23" x14ac:dyDescent="0.2">
      <c r="A375" s="211">
        <f t="shared" si="58"/>
        <v>120</v>
      </c>
      <c r="B375" s="211">
        <f t="shared" si="56"/>
        <v>205</v>
      </c>
      <c r="L375" s="44">
        <f t="shared" si="50"/>
        <v>120</v>
      </c>
      <c r="M375" s="44">
        <f t="shared" si="51"/>
        <v>25</v>
      </c>
      <c r="N375" s="44">
        <f t="shared" si="52"/>
        <v>3000</v>
      </c>
      <c r="O375" s="44">
        <f t="shared" si="53"/>
        <v>180000</v>
      </c>
      <c r="P375" s="44">
        <f>(B375-B374)*T374^3/12+(B375-B374)*T374*(T374/2-P366)^2+(B375-B374)*(T375-T374)^3/36+(B375-B374)*(T375-T374)/2*(T374+(T375-T374)/3-P366)^2</f>
        <v>14400000</v>
      </c>
      <c r="Q375" s="44">
        <f t="shared" si="54"/>
        <v>577500</v>
      </c>
      <c r="R375" s="44">
        <f>T374*(B375-B374)^3/12+T374*(B375-B374)*(B374+(B375-B374)/2-I400)^2+(T375-T374)*(B375-B374)^3/36+(T375-T374)/2*(B375-B374)*(B374+2/3*(B375-B374)-I400)^2</f>
        <v>14620109.261186264</v>
      </c>
      <c r="S375" s="213">
        <f t="shared" si="55"/>
        <v>34650000</v>
      </c>
      <c r="T375" s="44">
        <f t="shared" si="49"/>
        <v>120</v>
      </c>
      <c r="U375" s="67">
        <f t="shared" si="57"/>
        <v>1</v>
      </c>
      <c r="V375" s="67">
        <f>IF(AND(W375=W367,B375=B367),"A",1)</f>
        <v>1</v>
      </c>
      <c r="W375" s="44">
        <f>(A375-A367)</f>
        <v>120</v>
      </c>
    </row>
    <row r="376" spans="1:23" x14ac:dyDescent="0.2">
      <c r="A376" s="211">
        <f t="shared" si="58"/>
        <v>-120</v>
      </c>
      <c r="B376" s="211">
        <f t="shared" si="56"/>
        <v>205</v>
      </c>
      <c r="L376" s="44">
        <f t="shared" si="50"/>
        <v>0</v>
      </c>
      <c r="M376" s="44">
        <f t="shared" si="51"/>
        <v>0</v>
      </c>
      <c r="N376" s="44">
        <f t="shared" si="52"/>
        <v>0</v>
      </c>
      <c r="O376" s="44">
        <f t="shared" si="53"/>
        <v>0</v>
      </c>
      <c r="P376" s="44">
        <f>(B376-B375)*T375^3/12+(B376-B375)*T375*(T375/2-P366)^2+(B376-B375)*(T376-T375)^3/36+(B376-B375)*(T376-T375)/2*(T375+(T376-T375)/3-P366)^2</f>
        <v>0</v>
      </c>
      <c r="Q376" s="44">
        <f t="shared" si="54"/>
        <v>0</v>
      </c>
      <c r="R376" s="44">
        <f>T375*(B376-B375)^3/12+T375*(B376-B375)*(B375+(B376-B375)/2-I400)^2+(T376-T375)*(B376-B375)^3/36+(T376-T375)/2*(B376-B375)*(B375+2/3*(B376-B375)-I400)^2</f>
        <v>0</v>
      </c>
      <c r="S376" s="213">
        <f t="shared" si="55"/>
        <v>0</v>
      </c>
      <c r="T376" s="44">
        <f t="shared" si="49"/>
        <v>-120</v>
      </c>
      <c r="U376" s="67">
        <f t="shared" si="57"/>
        <v>1</v>
      </c>
      <c r="V376" s="67">
        <f>IF(AND(W376=W367,B376=B367),"A",1)</f>
        <v>1</v>
      </c>
      <c r="W376" s="44">
        <f>(A376-A367)</f>
        <v>-120</v>
      </c>
    </row>
    <row r="377" spans="1:23" x14ac:dyDescent="0.2">
      <c r="A377" s="211">
        <f t="shared" si="58"/>
        <v>-120</v>
      </c>
      <c r="B377" s="211">
        <f t="shared" si="56"/>
        <v>180</v>
      </c>
      <c r="L377" s="44">
        <f t="shared" si="50"/>
        <v>-120</v>
      </c>
      <c r="M377" s="44">
        <f t="shared" si="51"/>
        <v>-25</v>
      </c>
      <c r="N377" s="44">
        <f t="shared" si="52"/>
        <v>3000</v>
      </c>
      <c r="O377" s="44">
        <f t="shared" si="53"/>
        <v>-180000</v>
      </c>
      <c r="P377" s="44">
        <f>(B377-B376)*T376^3/12+(B377-B376)*T376*(T376/2-P366)^2+(B377-B376)*(T377-T376)^3/36+(B377-B376)*(T377-T376)/2*(T376+(T377-T376)/3-P366)^2</f>
        <v>14400000</v>
      </c>
      <c r="Q377" s="44">
        <f t="shared" si="54"/>
        <v>577500</v>
      </c>
      <c r="R377" s="44">
        <f>T376*(B377-B376)^3/12+T376*(B377-B376)*(B376+(B377-B376)/2-I400)^2+(T377-T376)*(B377-B376)^3/36+(T377-T376)/2*(B377-B376)*(B376+2/3*(B377-B376)-I400)^2</f>
        <v>14620109.261186264</v>
      </c>
      <c r="S377" s="213">
        <f t="shared" si="55"/>
        <v>-34650000</v>
      </c>
      <c r="T377" s="44">
        <f t="shared" si="49"/>
        <v>-120</v>
      </c>
      <c r="U377" s="67">
        <f t="shared" si="57"/>
        <v>1</v>
      </c>
      <c r="V377" s="67">
        <f>IF(AND(W377=W367,B377=B367),"A",1)</f>
        <v>1</v>
      </c>
      <c r="W377" s="44">
        <f>(A377-A367)</f>
        <v>-120</v>
      </c>
    </row>
    <row r="378" spans="1:23" x14ac:dyDescent="0.2">
      <c r="A378" s="211">
        <f t="shared" si="58"/>
        <v>-35</v>
      </c>
      <c r="B378" s="211">
        <f t="shared" si="56"/>
        <v>180</v>
      </c>
      <c r="L378" s="44">
        <f t="shared" si="50"/>
        <v>-77.5</v>
      </c>
      <c r="M378" s="44">
        <f t="shared" si="51"/>
        <v>0</v>
      </c>
      <c r="N378" s="44">
        <f t="shared" si="52"/>
        <v>0</v>
      </c>
      <c r="O378" s="44">
        <f t="shared" si="53"/>
        <v>0</v>
      </c>
      <c r="P378" s="44">
        <f>(B378-B377)*T377^3/12+(B378-B377)*T377*(T377/2-P366)^2+(B378-B377)*(T378-T377)^3/36+(B378-B377)*(T378-T377)/2*(T377+(T378-T377)/3-P366)^2</f>
        <v>0</v>
      </c>
      <c r="Q378" s="44">
        <f t="shared" si="54"/>
        <v>0</v>
      </c>
      <c r="R378" s="44">
        <f>T377*(B378-B377)^3/12+T377*(B378-B377)*(B377+(B378-B377)/2-I400)^2+(T378-T377)*(B378-B377)^3/36+(T378-T377)/2*(B378-B377)*(B377+2/3*(B378-B377)-I400)^2</f>
        <v>0</v>
      </c>
      <c r="S378" s="213">
        <f t="shared" si="55"/>
        <v>0</v>
      </c>
      <c r="T378" s="44">
        <f t="shared" si="49"/>
        <v>-35</v>
      </c>
      <c r="U378" s="67">
        <f t="shared" si="57"/>
        <v>1</v>
      </c>
      <c r="V378" s="67">
        <f>IF(AND(W378=W367,B378=B367),"A",1)</f>
        <v>1</v>
      </c>
      <c r="W378" s="44">
        <f>(A378-A367)</f>
        <v>-35</v>
      </c>
    </row>
    <row r="379" spans="1:23" x14ac:dyDescent="0.2">
      <c r="A379" s="211">
        <f t="shared" si="58"/>
        <v>-35</v>
      </c>
      <c r="B379" s="211">
        <f t="shared" si="56"/>
        <v>165</v>
      </c>
      <c r="L379" s="44">
        <f t="shared" si="50"/>
        <v>-35</v>
      </c>
      <c r="M379" s="44">
        <f t="shared" si="51"/>
        <v>-15</v>
      </c>
      <c r="N379" s="44">
        <f t="shared" si="52"/>
        <v>525</v>
      </c>
      <c r="O379" s="44">
        <f t="shared" si="53"/>
        <v>-9187.5</v>
      </c>
      <c r="P379" s="44">
        <f>(B379-B378)*T378^3/12+(B379-B378)*T378*(T378/2-P366)^2+(B379-B378)*(T379-T378)^3/36+(B379-B378)*(T379-T378)/2*(T378+(T379-T378)/3-P366)^2</f>
        <v>214375</v>
      </c>
      <c r="Q379" s="44">
        <f t="shared" si="54"/>
        <v>90562.5</v>
      </c>
      <c r="R379" s="44">
        <f>T378*(B379-B378)^3/12+T378*(B379-B378)*(B378+(B379-B378)/2-I400)^2+(T379-T378)*(B379-B378)^3/36+(T379-T378)/2*(B379-B378)*(B378+2/3*(B379-B378)-I400)^2</f>
        <v>1292873.9594172738</v>
      </c>
      <c r="S379" s="213">
        <f t="shared" si="55"/>
        <v>-1584843.75</v>
      </c>
      <c r="T379" s="44">
        <f t="shared" si="49"/>
        <v>-35</v>
      </c>
      <c r="U379" s="67">
        <f t="shared" si="57"/>
        <v>1</v>
      </c>
      <c r="V379" s="67">
        <f>IF(AND(W379=W367,B379=B367),"A",1)</f>
        <v>1</v>
      </c>
      <c r="W379" s="44">
        <f>(A379-A367)</f>
        <v>-35</v>
      </c>
    </row>
    <row r="380" spans="1:23" x14ac:dyDescent="0.2">
      <c r="A380" s="211">
        <f>A382</f>
        <v>-35</v>
      </c>
      <c r="B380" s="211">
        <f t="shared" si="56"/>
        <v>150</v>
      </c>
      <c r="L380" s="44">
        <f t="shared" si="50"/>
        <v>-35</v>
      </c>
      <c r="M380" s="44">
        <f t="shared" si="51"/>
        <v>-15</v>
      </c>
      <c r="N380" s="44">
        <f t="shared" si="52"/>
        <v>525</v>
      </c>
      <c r="O380" s="44">
        <f t="shared" si="53"/>
        <v>-9187.5</v>
      </c>
      <c r="P380" s="44">
        <f>(B380-B379)*T379^3/12+(B380-B379)*T379*(T379/2-P366)^2+(B380-B379)*(T380-T379)^3/36+(B380-B379)*(T380-T379)/2*(T379+(T380-T379)/3-P366)^2</f>
        <v>214375</v>
      </c>
      <c r="Q380" s="44">
        <f t="shared" si="54"/>
        <v>82687.5</v>
      </c>
      <c r="R380" s="44">
        <f>T379*(B380-B379)^3/12+T379*(B380-B379)*(B379+(B380-B379)/2-I400)^2+(T380-T379)*(B380-B379)^3/36+(T380-T379)/2*(B380-B379)*(B379+2/3*(B380-B379)-I400)^2</f>
        <v>632390.08844953182</v>
      </c>
      <c r="S380" s="213">
        <f t="shared" si="55"/>
        <v>-1447031.25</v>
      </c>
      <c r="T380" s="44">
        <f t="shared" si="49"/>
        <v>-35</v>
      </c>
      <c r="U380" s="67">
        <f t="shared" si="57"/>
        <v>1</v>
      </c>
      <c r="V380" s="67">
        <f>IF(AND(W380=W367,B380=B367),"A",1)</f>
        <v>1</v>
      </c>
      <c r="W380" s="44">
        <f>(A380-A367)</f>
        <v>-35</v>
      </c>
    </row>
    <row r="381" spans="1:23" x14ac:dyDescent="0.2">
      <c r="A381" s="211">
        <f>A383</f>
        <v>-35</v>
      </c>
      <c r="B381" s="211">
        <f t="shared" si="56"/>
        <v>40</v>
      </c>
      <c r="L381" s="44">
        <f t="shared" si="50"/>
        <v>-35</v>
      </c>
      <c r="M381" s="44">
        <f t="shared" si="51"/>
        <v>-110</v>
      </c>
      <c r="N381" s="44">
        <f t="shared" si="52"/>
        <v>3850</v>
      </c>
      <c r="O381" s="44">
        <f t="shared" si="53"/>
        <v>-67375</v>
      </c>
      <c r="P381" s="44">
        <f>(B381-B380)*T380^3/12+(B381-B380)*T380*(T380/2-P366)^2+(B381-B380)*(T381-T380)^3/36+(B381-B380)*(T381-T380)/2*(T380+(T381-T380)/3-P366)^2</f>
        <v>1572083.3333333333</v>
      </c>
      <c r="Q381" s="44">
        <f t="shared" si="54"/>
        <v>365750</v>
      </c>
      <c r="R381" s="44">
        <f>T380*(B381-B380)^3/12+T380*(B381-B380)*(B380+(B381-B380)/2-I400)^2+(T381-T380)*(B381-B380)^3/36+(T381-T380)/2*(B381-B380)*(B380+2/3*(B381-B380)-I400)^2</f>
        <v>6914409.0357266739</v>
      </c>
      <c r="S381" s="213">
        <f t="shared" si="55"/>
        <v>-6400625</v>
      </c>
      <c r="T381" s="44">
        <f t="shared" si="49"/>
        <v>-35</v>
      </c>
      <c r="U381" s="67">
        <f t="shared" si="57"/>
        <v>1</v>
      </c>
      <c r="V381" s="67">
        <f>IF(AND(W381=W367,B381=B367),"A",1)</f>
        <v>1</v>
      </c>
      <c r="W381" s="44">
        <f>(A381-A367)</f>
        <v>-35</v>
      </c>
    </row>
    <row r="382" spans="1:23" x14ac:dyDescent="0.2">
      <c r="A382" s="211">
        <f>A341</f>
        <v>-35</v>
      </c>
      <c r="B382" s="211">
        <f t="shared" si="56"/>
        <v>25</v>
      </c>
      <c r="L382" s="44">
        <f t="shared" si="50"/>
        <v>-35</v>
      </c>
      <c r="M382" s="44">
        <f t="shared" si="51"/>
        <v>-15</v>
      </c>
      <c r="N382" s="44">
        <f t="shared" si="52"/>
        <v>525</v>
      </c>
      <c r="O382" s="44">
        <f t="shared" si="53"/>
        <v>-9187.5</v>
      </c>
      <c r="P382" s="44">
        <f>(B382-B381)*T381^3/12+(B382-B381)*T381*(T381/2-P366)^2+(B382-B381)*(T382-T381)^3/36+(B382-B381)*(T382-T381)/2*(T381+(T382-T381)/3-P366)^2</f>
        <v>214375</v>
      </c>
      <c r="Q382" s="44">
        <f t="shared" si="54"/>
        <v>17062.5</v>
      </c>
      <c r="R382" s="44">
        <f>T381*(B382-B381)^3/12+T381*(B382-B381)*(B381+(B382-B381)/2-I400)^2+(T382-T381)*(B382-B381)^3/36+(T382-T381)/2*(B382-B381)*(B381+2/3*(B382-B381)-I400)^2</f>
        <v>4315857.8303850153</v>
      </c>
      <c r="S382" s="213">
        <f t="shared" si="55"/>
        <v>-298593.75</v>
      </c>
      <c r="T382" s="44">
        <f t="shared" si="49"/>
        <v>-35</v>
      </c>
      <c r="U382" s="67">
        <f t="shared" si="57"/>
        <v>1</v>
      </c>
      <c r="V382" s="67">
        <f>IF(AND(W382=W367,B382=B367),"A",1)</f>
        <v>1</v>
      </c>
      <c r="W382" s="44">
        <f>(A382-A367)</f>
        <v>-35</v>
      </c>
    </row>
    <row r="383" spans="1:23" x14ac:dyDescent="0.2">
      <c r="A383" s="211">
        <f>A342</f>
        <v>-35</v>
      </c>
      <c r="B383" s="211">
        <f t="shared" si="56"/>
        <v>0</v>
      </c>
      <c r="L383" s="44">
        <f t="shared" si="50"/>
        <v>-35</v>
      </c>
      <c r="M383" s="44">
        <f t="shared" si="51"/>
        <v>-25</v>
      </c>
      <c r="N383" s="44">
        <f t="shared" si="52"/>
        <v>875</v>
      </c>
      <c r="O383" s="44">
        <f t="shared" si="53"/>
        <v>-15312.5</v>
      </c>
      <c r="P383" s="44">
        <f>(B383-B382)*T382^3/12+(B383-B382)*T382*(T382/2-P366)^2+(B383-B382)*(T383-T382)^3/36+(B383-B382)*(T383-T382)/2*(T382+(T383-T382)/3-P366)^2</f>
        <v>357291.66666666669</v>
      </c>
      <c r="Q383" s="44">
        <f t="shared" si="54"/>
        <v>10937.5</v>
      </c>
      <c r="R383" s="44">
        <f>T382*(B383-B382)^3/12+T382*(B383-B382)*(B382+(B383-B382)/2-I400)^2+(T383-T382)*(B383-B382)^3/36+(T383-T382)/2*(B383-B382)*(B382+2/3*(B383-B382)-I400)^2</f>
        <v>10742021.11515782</v>
      </c>
      <c r="S383" s="213">
        <f t="shared" si="55"/>
        <v>-191406.25</v>
      </c>
      <c r="T383" s="44">
        <f t="shared" si="49"/>
        <v>-35</v>
      </c>
      <c r="U383" s="67">
        <f t="shared" si="57"/>
        <v>1</v>
      </c>
      <c r="V383" s="67">
        <f>IF(AND(W383=W367,B383=B367),"A",1)</f>
        <v>1</v>
      </c>
      <c r="W383" s="44">
        <f>(A383-A367)</f>
        <v>-35</v>
      </c>
    </row>
    <row r="384" spans="1:23" x14ac:dyDescent="0.2">
      <c r="A384" s="211">
        <f>A343</f>
        <v>0</v>
      </c>
      <c r="B384" s="211">
        <f t="shared" si="56"/>
        <v>0</v>
      </c>
      <c r="L384" s="44">
        <f t="shared" si="50"/>
        <v>-17.5</v>
      </c>
      <c r="M384" s="44">
        <f t="shared" si="51"/>
        <v>0</v>
      </c>
      <c r="N384" s="44">
        <f t="shared" si="52"/>
        <v>0</v>
      </c>
      <c r="O384" s="44">
        <f t="shared" si="53"/>
        <v>0</v>
      </c>
      <c r="P384" s="44">
        <f>(B384-B383)*T383^3/12+(B384-B383)*T383*(T383/2-P366)^2+(B384-B383)*(T384-T383)^3/36+(B384-B383)*(T384-T383)/2*(T383+(T384-T383)/3-P366)^2</f>
        <v>0</v>
      </c>
      <c r="Q384" s="44">
        <f t="shared" si="54"/>
        <v>0</v>
      </c>
      <c r="R384" s="44">
        <f>T383*(B384-B383)^3/12+T383*(B384-B383)*(B383+(B384-B383)/2-I400)^2+(T384-T383)*(B384-B383)^3/36+(T384-T383)/2*(B384-B383)*(B383+2/3*(B384-B383)-I400)^2</f>
        <v>0</v>
      </c>
      <c r="S384" s="213">
        <f t="shared" si="55"/>
        <v>0</v>
      </c>
      <c r="T384" s="44">
        <f t="shared" si="49"/>
        <v>0</v>
      </c>
      <c r="U384" s="67">
        <f t="shared" si="57"/>
        <v>0</v>
      </c>
      <c r="V384" s="67" t="str">
        <f>IF(AND(W384=W367,B384=B367),"A",1)</f>
        <v>A</v>
      </c>
      <c r="W384" s="44">
        <f>(A384-A367)</f>
        <v>0</v>
      </c>
    </row>
    <row r="385" spans="1:23" x14ac:dyDescent="0.2">
      <c r="A385" s="211">
        <f>A344</f>
        <v>0</v>
      </c>
      <c r="B385" s="211">
        <f t="shared" si="56"/>
        <v>0</v>
      </c>
      <c r="F385" s="44" t="s">
        <v>815</v>
      </c>
      <c r="L385" s="44">
        <f t="shared" si="50"/>
        <v>0</v>
      </c>
      <c r="M385" s="44">
        <f t="shared" si="51"/>
        <v>0</v>
      </c>
      <c r="N385" s="44">
        <f t="shared" si="52"/>
        <v>0</v>
      </c>
      <c r="O385" s="44">
        <f t="shared" si="53"/>
        <v>0</v>
      </c>
      <c r="P385" s="44">
        <f>(B385-B384)*T384^3/12+(B385-B384)*T384*(T384/2-P366)^2+(B385-B384)*(T385-T384)^3/36+(B385-B384)*(T385-T384)/2*(T384+(T385-T384)/3-P366)^2</f>
        <v>0</v>
      </c>
      <c r="Q385" s="44">
        <f t="shared" si="54"/>
        <v>0</v>
      </c>
      <c r="R385" s="44">
        <f>T384*(B385-B384)^3/12+T384*(B385-B384)*(B384+(B385-B384)/2-I400)^2+(T385-T384)*(B385-B384)^3/36+(T385-T384)/2*(B385-B384)*(B384+2/3*(B385-B384)-I400)^2</f>
        <v>0</v>
      </c>
      <c r="S385" s="213">
        <f t="shared" si="55"/>
        <v>0</v>
      </c>
      <c r="T385" s="44">
        <f t="shared" si="49"/>
        <v>0</v>
      </c>
      <c r="U385" s="67">
        <f t="shared" si="57"/>
        <v>0</v>
      </c>
      <c r="V385" s="67" t="str">
        <f>IF(AND(W385=W367,B385=B367),"A",1)</f>
        <v>A</v>
      </c>
      <c r="W385" s="44">
        <f>(A385-A367)</f>
        <v>0</v>
      </c>
    </row>
    <row r="386" spans="1:23" hidden="1" x14ac:dyDescent="0.2">
      <c r="A386" s="211"/>
      <c r="B386" s="211"/>
      <c r="L386" s="44">
        <f t="shared" si="50"/>
        <v>0</v>
      </c>
      <c r="M386" s="44">
        <f t="shared" si="51"/>
        <v>0</v>
      </c>
      <c r="N386" s="44">
        <f t="shared" si="52"/>
        <v>0</v>
      </c>
      <c r="O386" s="44">
        <f t="shared" si="53"/>
        <v>0</v>
      </c>
      <c r="P386" s="44">
        <f>(B386-B385)*T385^3/12+(B386-B385)*T385*(T385/2-P366)^2+(B386-B385)*(T386-T385)^3/36+(B386-B385)*(T386-T385)/2*(T385+(T386-T385)/3-P366)^2</f>
        <v>0</v>
      </c>
      <c r="Q386" s="44">
        <f t="shared" si="54"/>
        <v>0</v>
      </c>
      <c r="R386" s="44">
        <f>T385*(B386-B385)^3/12+T385*(B386-B385)*(B385+(B386-B385)/2-I400)^2+(T386-T385)*(B386-B385)^3/36+(T386-T385)/2*(B386-B385)*(B385+2/3*(B386-B385)-I400)^2</f>
        <v>0</v>
      </c>
      <c r="S386" s="213">
        <f t="shared" si="55"/>
        <v>0</v>
      </c>
      <c r="T386" s="44">
        <f t="shared" si="49"/>
        <v>0</v>
      </c>
      <c r="U386" s="67">
        <f t="shared" si="57"/>
        <v>0</v>
      </c>
      <c r="V386" s="67" t="str">
        <f>IF(AND(W386=W367,B386=B367),"A",1)</f>
        <v>A</v>
      </c>
      <c r="W386" s="44">
        <f>(A386-A367)</f>
        <v>0</v>
      </c>
    </row>
    <row r="387" spans="1:23" hidden="1" x14ac:dyDescent="0.2">
      <c r="A387" s="211"/>
      <c r="B387" s="211"/>
      <c r="L387" s="44">
        <f t="shared" si="50"/>
        <v>0</v>
      </c>
      <c r="M387" s="44">
        <f t="shared" si="51"/>
        <v>0</v>
      </c>
      <c r="N387" s="44">
        <f t="shared" si="52"/>
        <v>0</v>
      </c>
      <c r="O387" s="44">
        <f t="shared" si="53"/>
        <v>0</v>
      </c>
      <c r="P387" s="44">
        <f>(B387-B386)*T386^3/12+(B387-B386)*T386*(T386/2-P366)^2+(B387-B386)*(T387-T386)^3/36+(B387-B386)*(T387-T386)/2*(T386+(T387-T386)/3-P366)^2</f>
        <v>0</v>
      </c>
      <c r="Q387" s="44">
        <f t="shared" si="54"/>
        <v>0</v>
      </c>
      <c r="R387" s="44">
        <f>T386*(B387-B386)^3/12+T386*(B387-B386)*(B386+(B387-B386)/2-I400)^2+(T387-T386)*(B387-B386)^3/36+(T387-T386)/2*(B387-B386)*(B386+2/3*(B387-B386)-I400)^2</f>
        <v>0</v>
      </c>
      <c r="S387" s="213">
        <f t="shared" si="55"/>
        <v>0</v>
      </c>
      <c r="T387" s="44">
        <f t="shared" si="49"/>
        <v>0</v>
      </c>
      <c r="U387" s="67">
        <f t="shared" si="57"/>
        <v>0</v>
      </c>
      <c r="V387" s="67" t="str">
        <f>IF(AND(W387=W367,B387=B367),"A",1)</f>
        <v>A</v>
      </c>
      <c r="W387" s="44">
        <f>(A387-A367)</f>
        <v>0</v>
      </c>
    </row>
    <row r="388" spans="1:23" hidden="1" x14ac:dyDescent="0.2">
      <c r="A388" s="211"/>
      <c r="B388" s="211"/>
      <c r="L388" s="44">
        <f t="shared" si="50"/>
        <v>0</v>
      </c>
      <c r="M388" s="44">
        <f t="shared" si="51"/>
        <v>0</v>
      </c>
      <c r="N388" s="44">
        <f t="shared" si="52"/>
        <v>0</v>
      </c>
      <c r="O388" s="44">
        <f t="shared" si="53"/>
        <v>0</v>
      </c>
      <c r="P388" s="44">
        <f>(B388-B387)*T387^3/12+(B388-B387)*T387*(T387/2-P366)^2+(B388-B387)*(T388-T387)^3/36+(B388-B387)*(T388-T387)/2*(T387+(T388-T387)/3-P366)^2</f>
        <v>0</v>
      </c>
      <c r="Q388" s="44">
        <f t="shared" si="54"/>
        <v>0</v>
      </c>
      <c r="R388" s="44">
        <f>T387*(B388-B387)^3/12+T387*(B388-B387)*(B387+(B388-B387)/2-I400)^2+(T388-T387)*(B388-B387)^3/36+(T388-T387)/2*(B388-B387)*(B387+2/3*(B388-B387)-I400)^2</f>
        <v>0</v>
      </c>
      <c r="S388" s="213">
        <f t="shared" si="55"/>
        <v>0</v>
      </c>
      <c r="T388" s="44">
        <f t="shared" si="49"/>
        <v>0</v>
      </c>
      <c r="U388" s="67">
        <f t="shared" si="57"/>
        <v>0</v>
      </c>
      <c r="V388" s="67" t="str">
        <f>IF(AND(W388=W367,B388=B367),"A",1)</f>
        <v>A</v>
      </c>
      <c r="W388" s="44">
        <f>(A388-A367)</f>
        <v>0</v>
      </c>
    </row>
    <row r="389" spans="1:23" hidden="1" x14ac:dyDescent="0.2">
      <c r="A389" s="211"/>
      <c r="B389" s="211"/>
      <c r="L389" s="44">
        <f t="shared" si="50"/>
        <v>0</v>
      </c>
      <c r="M389" s="44">
        <f t="shared" si="51"/>
        <v>0</v>
      </c>
      <c r="N389" s="44">
        <f t="shared" si="52"/>
        <v>0</v>
      </c>
      <c r="O389" s="44">
        <f t="shared" si="53"/>
        <v>0</v>
      </c>
      <c r="P389" s="44">
        <f>(B389-B388)*T388^3/12+(B389-B388)*T388*(T388/2-P366)^2+(B389-B388)*(T389-T388)^3/36+(B389-B388)*(T389-T388)/2*(T388+(T389-T388)/3-P366)^2</f>
        <v>0</v>
      </c>
      <c r="Q389" s="44">
        <f t="shared" si="54"/>
        <v>0</v>
      </c>
      <c r="R389" s="44">
        <f>T388*(B389-B388)^3/12+T388*(B389-B388)*(B388+(B389-B388)/2-I400)^2+(T389-T388)*(B389-B388)^3/36+(T389-T388)/2*(B389-B388)*(B388+2/3*(B389-B388)-I400)^2</f>
        <v>0</v>
      </c>
      <c r="S389" s="213">
        <f t="shared" si="55"/>
        <v>0</v>
      </c>
      <c r="T389" s="44">
        <f t="shared" si="49"/>
        <v>0</v>
      </c>
      <c r="U389" s="67">
        <f t="shared" si="57"/>
        <v>0</v>
      </c>
      <c r="V389" s="67" t="str">
        <f>IF(AND(W389=W367,B389=B367),"A",1)</f>
        <v>A</v>
      </c>
      <c r="W389" s="44">
        <f>(A389-A367)</f>
        <v>0</v>
      </c>
    </row>
    <row r="390" spans="1:23" hidden="1" x14ac:dyDescent="0.2">
      <c r="A390" s="211"/>
      <c r="B390" s="211"/>
      <c r="L390" s="44">
        <f t="shared" si="50"/>
        <v>0</v>
      </c>
      <c r="M390" s="44">
        <f t="shared" si="51"/>
        <v>0</v>
      </c>
      <c r="N390" s="44">
        <f t="shared" si="52"/>
        <v>0</v>
      </c>
      <c r="O390" s="44">
        <f t="shared" si="53"/>
        <v>0</v>
      </c>
      <c r="P390" s="44">
        <f>(B390-B389)*T389^3/12+(B390-B389)*T389*(T389/2-P366)^2+(B390-B389)*(T390-T389)^3/36+(B390-B389)*(T390-T389)/2*(T389+(T390-T389)/3-P366)^2</f>
        <v>0</v>
      </c>
      <c r="Q390" s="44">
        <f t="shared" si="54"/>
        <v>0</v>
      </c>
      <c r="R390" s="44">
        <f>T389*(B390-B389)^3/12+T389*(B390-B389)*(B389+(B390-B389)/2-I400)^2+(T390-T389)*(B390-B389)^3/36+(T390-T389)/2*(B390-B389)*(B389+2/3*(B390-B389)-I400)^2</f>
        <v>0</v>
      </c>
      <c r="S390" s="213">
        <f t="shared" si="55"/>
        <v>0</v>
      </c>
      <c r="T390" s="44">
        <f t="shared" si="49"/>
        <v>0</v>
      </c>
      <c r="U390" s="67">
        <f t="shared" si="57"/>
        <v>0</v>
      </c>
      <c r="V390" s="67" t="str">
        <f>IF(AND(W390=W367,B390=B367),"A",1)</f>
        <v>A</v>
      </c>
      <c r="W390" s="44">
        <f>(A390-A367)</f>
        <v>0</v>
      </c>
    </row>
    <row r="391" spans="1:23" hidden="1" x14ac:dyDescent="0.2">
      <c r="A391" s="216"/>
      <c r="B391" s="216"/>
      <c r="L391" s="44">
        <f t="shared" si="50"/>
        <v>0</v>
      </c>
      <c r="M391" s="44">
        <f t="shared" si="51"/>
        <v>0</v>
      </c>
      <c r="N391" s="44">
        <f t="shared" si="52"/>
        <v>0</v>
      </c>
      <c r="O391" s="44">
        <f t="shared" si="53"/>
        <v>0</v>
      </c>
      <c r="P391" s="44">
        <f>(B391-B390)*T390^3/12+(B391-B390)*T390*(T390/2-P366)^2+(B391-B390)*(T391-T390)^3/36+(B391-B390)*(T391-T390)/2*(T390+(T391-T390)/3-P366)^2</f>
        <v>0</v>
      </c>
      <c r="Q391" s="44">
        <f t="shared" si="54"/>
        <v>0</v>
      </c>
      <c r="R391" s="44">
        <f>T390*(B391-B390)^3/12+T390*(B391-B390)*(B390+(B391-B390)/2-I400)^2+(T391-T390)*(B391-B390)^3/36+(T391-T390)/2*(B391-B390)*(B390+2/3*(B391-B390)-I400)^2</f>
        <v>0</v>
      </c>
      <c r="S391" s="213">
        <f t="shared" si="55"/>
        <v>0</v>
      </c>
      <c r="T391" s="44">
        <f t="shared" si="49"/>
        <v>0</v>
      </c>
      <c r="U391" s="67">
        <f t="shared" si="57"/>
        <v>0</v>
      </c>
      <c r="V391" s="67" t="str">
        <f>IF(AND(W391=W367,B391=B367),"A",1)</f>
        <v>A</v>
      </c>
      <c r="W391" s="44">
        <f>(A391-A367)</f>
        <v>0</v>
      </c>
    </row>
    <row r="392" spans="1:23" hidden="1" x14ac:dyDescent="0.2">
      <c r="A392" s="216"/>
      <c r="B392" s="216"/>
      <c r="L392" s="44">
        <f t="shared" si="50"/>
        <v>0</v>
      </c>
      <c r="M392" s="44">
        <f t="shared" si="51"/>
        <v>0</v>
      </c>
      <c r="N392" s="44">
        <f t="shared" si="52"/>
        <v>0</v>
      </c>
      <c r="O392" s="44">
        <f t="shared" si="53"/>
        <v>0</v>
      </c>
      <c r="P392" s="44">
        <f>(B392-B391)*T391^3/12+(B392-B391)*T391*(T391/2-P366)^2+(B392-B391)*(T392-T391)^3/36+(B392-B391)*(T392-T391)/2*(T391+(T392-T391)/3-P366)^2</f>
        <v>0</v>
      </c>
      <c r="Q392" s="44">
        <f t="shared" si="54"/>
        <v>0</v>
      </c>
      <c r="R392" s="44">
        <f>T391*(B392-B391)^3/12+T391*(B392-B391)*(B391+(B392-B391)/2-I400)^2+(T392-T391)*(B392-B391)^3/36+(T392-T391)/2*(B392-B391)*(B391+2/3*(B392-B391)-I400)^2</f>
        <v>0</v>
      </c>
      <c r="S392" s="213">
        <f t="shared" si="55"/>
        <v>0</v>
      </c>
      <c r="T392" s="44">
        <f t="shared" si="49"/>
        <v>0</v>
      </c>
      <c r="U392" s="67">
        <f t="shared" si="57"/>
        <v>0</v>
      </c>
      <c r="V392" s="67" t="str">
        <f>IF(AND(W392=W367,B392=B367),"A",1)</f>
        <v>A</v>
      </c>
      <c r="W392" s="44">
        <f>(A392-A367)</f>
        <v>0</v>
      </c>
    </row>
    <row r="393" spans="1:23" hidden="1" x14ac:dyDescent="0.2">
      <c r="A393" s="216"/>
      <c r="B393" s="216"/>
      <c r="L393" s="44">
        <f t="shared" si="50"/>
        <v>0</v>
      </c>
      <c r="M393" s="44">
        <f t="shared" si="51"/>
        <v>0</v>
      </c>
      <c r="N393" s="44">
        <f t="shared" si="52"/>
        <v>0</v>
      </c>
      <c r="O393" s="44">
        <f t="shared" si="53"/>
        <v>0</v>
      </c>
      <c r="P393" s="44">
        <f>(B393-B392)*T392^3/12+(B393-B392)*T392*(T392/2-P366)^2+(B393-B392)*(T393-T392)^3/36+(B393-B392)*(T393-T392)/2*(T392+(T393-T392)/3-P366)^2</f>
        <v>0</v>
      </c>
      <c r="Q393" s="44">
        <f t="shared" si="54"/>
        <v>0</v>
      </c>
      <c r="R393" s="44">
        <f>T392*(B393-B392)^3/12+T392*(B393-B392)*(B392+(B393-B392)/2-I400)^2+(T393-T392)*(B393-B392)^3/36+(T393-T392)/2*(B393-B392)*(B392+2/3*(B393-B392)-I400)^2</f>
        <v>0</v>
      </c>
      <c r="S393" s="213">
        <f t="shared" si="55"/>
        <v>0</v>
      </c>
      <c r="T393" s="44">
        <f t="shared" si="49"/>
        <v>0</v>
      </c>
      <c r="U393" s="67">
        <f t="shared" si="57"/>
        <v>0</v>
      </c>
      <c r="V393" s="67" t="str">
        <f>IF(AND(W393=W367,B393=B367),"A",1)</f>
        <v>A</v>
      </c>
      <c r="W393" s="44">
        <f>(A393-A367)</f>
        <v>0</v>
      </c>
    </row>
    <row r="394" spans="1:23" hidden="1" x14ac:dyDescent="0.2">
      <c r="A394" s="216"/>
      <c r="B394" s="216"/>
      <c r="L394" s="44">
        <f t="shared" si="50"/>
        <v>0</v>
      </c>
      <c r="M394" s="44">
        <f t="shared" si="51"/>
        <v>0</v>
      </c>
      <c r="N394" s="44">
        <f t="shared" si="52"/>
        <v>0</v>
      </c>
      <c r="O394" s="44">
        <f t="shared" si="53"/>
        <v>0</v>
      </c>
      <c r="P394" s="44">
        <f>(B394-B393)*T393^3/12+(B394-B393)*T393*(T393/2-P366)^2+(B394-B393)*(T394-T393)^3/36+(B394-B393)*(T394-T393)/2*(T393+(T394-T393)/3-P366)^2</f>
        <v>0</v>
      </c>
      <c r="Q394" s="44">
        <f t="shared" si="54"/>
        <v>0</v>
      </c>
      <c r="R394" s="44">
        <f>T393*(B394-B393)^3/12+T393*(B394-B393)*(B393+(B394-B393)/2-I400)^2+(T394-T393)*(B394-B393)^3/36+(T394-T393)/2*(B394-B393)*(B393+2/3*(B394-B393)-I400)^2</f>
        <v>0</v>
      </c>
      <c r="S394" s="213">
        <f t="shared" si="55"/>
        <v>0</v>
      </c>
      <c r="T394" s="44">
        <f t="shared" si="49"/>
        <v>0</v>
      </c>
      <c r="U394" s="67">
        <f t="shared" si="57"/>
        <v>0</v>
      </c>
      <c r="V394" s="67" t="str">
        <f>IF(AND(W394=W367,B394=B367),"A",1)</f>
        <v>A</v>
      </c>
      <c r="W394" s="44">
        <f>(A394-A367)</f>
        <v>0</v>
      </c>
    </row>
    <row r="395" spans="1:23" hidden="1" x14ac:dyDescent="0.2">
      <c r="A395" s="216"/>
      <c r="B395" s="216"/>
      <c r="L395" s="44">
        <f t="shared" si="50"/>
        <v>0</v>
      </c>
      <c r="M395" s="44">
        <f t="shared" si="51"/>
        <v>0</v>
      </c>
      <c r="N395" s="44">
        <f t="shared" si="52"/>
        <v>0</v>
      </c>
      <c r="O395" s="44">
        <f t="shared" si="53"/>
        <v>0</v>
      </c>
      <c r="P395" s="44">
        <f>(B395-B394)*T394^3/12+(B395-B394)*T394*(T394/2-P366)^2+(B395-B394)*(T395-T394)^3/36+(B395-B394)*(T395-T394)/2*(T394+(T395-T394)/3-P366)^2</f>
        <v>0</v>
      </c>
      <c r="Q395" s="44">
        <f t="shared" si="54"/>
        <v>0</v>
      </c>
      <c r="R395" s="44">
        <f>T394*(B395-B394)^3/12+T394*(B395-B394)*(B394+(B395-B394)/2-I400)^2+(T395-T394)*(B395-B394)^3/36+(T395-T394)/2*(B395-B394)*(B394+2/3*(B395-B394)-I400)^2</f>
        <v>0</v>
      </c>
      <c r="S395" s="213">
        <f t="shared" si="55"/>
        <v>0</v>
      </c>
      <c r="T395" s="44">
        <f t="shared" si="49"/>
        <v>0</v>
      </c>
      <c r="U395" s="67">
        <f t="shared" si="57"/>
        <v>0</v>
      </c>
      <c r="V395" s="67" t="str">
        <f>IF(AND(W395=W367,B395=B367),"A",1)</f>
        <v>A</v>
      </c>
      <c r="W395" s="44">
        <f>(A395-A367)</f>
        <v>0</v>
      </c>
    </row>
    <row r="396" spans="1:23" hidden="1" x14ac:dyDescent="0.2">
      <c r="A396" s="216"/>
      <c r="B396" s="216"/>
      <c r="L396" s="44">
        <f t="shared" si="50"/>
        <v>0</v>
      </c>
      <c r="M396" s="44">
        <f t="shared" si="51"/>
        <v>0</v>
      </c>
      <c r="N396" s="44">
        <f t="shared" si="52"/>
        <v>0</v>
      </c>
      <c r="O396" s="44">
        <f t="shared" si="53"/>
        <v>0</v>
      </c>
      <c r="P396" s="44">
        <f>(B396-B395)*T395^3/12+(B396-B395)*T395*(T395/2-P366)^2+(B396-B395)*(T396-T395)^3/36+(B396-B395)*(T396-T395)/2*(T395+(T396-T395)/3-P366)^2</f>
        <v>0</v>
      </c>
      <c r="Q396" s="44">
        <f t="shared" si="54"/>
        <v>0</v>
      </c>
      <c r="R396" s="44">
        <f>T395*(B396-B395)^3/12+T395*(B396-B395)*(B395+(B396-B395)/2-I400)^2+(T396-T395)*(B396-B395)^3/36+(T396-T395)/2*(B396-B395)*(B395+2/3*(B396-B395)-I400)^2</f>
        <v>0</v>
      </c>
      <c r="S396" s="213">
        <f t="shared" si="55"/>
        <v>0</v>
      </c>
      <c r="T396" s="44">
        <f t="shared" si="49"/>
        <v>0</v>
      </c>
      <c r="U396" s="67">
        <f t="shared" si="57"/>
        <v>0</v>
      </c>
      <c r="V396" s="67" t="str">
        <f>IF(AND(W396=W367,B396=B367),"A",1)</f>
        <v>A</v>
      </c>
      <c r="W396" s="44">
        <f>(A396-A367)</f>
        <v>0</v>
      </c>
    </row>
    <row r="397" spans="1:23" hidden="1" x14ac:dyDescent="0.2">
      <c r="N397" s="214">
        <f t="shared" ref="N397:S397" si="59">SUM(N368:N396)</f>
        <v>18600</v>
      </c>
      <c r="O397" s="44">
        <f t="shared" si="59"/>
        <v>0</v>
      </c>
      <c r="P397" s="217">
        <f t="shared" si="59"/>
        <v>33944999.999999993</v>
      </c>
      <c r="Q397" s="44">
        <f t="shared" si="59"/>
        <v>2289000</v>
      </c>
      <c r="R397" s="44">
        <f t="shared" si="59"/>
        <v>77035322.580645144</v>
      </c>
      <c r="S397" s="213">
        <f t="shared" si="59"/>
        <v>0</v>
      </c>
    </row>
    <row r="398" spans="1:23" ht="12.55" x14ac:dyDescent="0.2">
      <c r="C398" s="207"/>
      <c r="D398" s="207" t="s">
        <v>47</v>
      </c>
      <c r="H398" s="44" t="s">
        <v>24</v>
      </c>
      <c r="I398" s="44">
        <f>ABS(N397)</f>
        <v>18600</v>
      </c>
      <c r="J398" s="44" t="s">
        <v>909</v>
      </c>
      <c r="Q398" s="67"/>
      <c r="S398" s="213"/>
    </row>
    <row r="399" spans="1:23" x14ac:dyDescent="0.2">
      <c r="C399" s="207"/>
      <c r="D399" s="207" t="s">
        <v>378</v>
      </c>
      <c r="H399" s="44" t="s">
        <v>24</v>
      </c>
      <c r="I399" s="157">
        <f>A367+O397/N397</f>
        <v>0</v>
      </c>
      <c r="J399" s="44" t="s">
        <v>21</v>
      </c>
      <c r="Q399" s="67"/>
      <c r="S399" s="213"/>
    </row>
    <row r="400" spans="1:23" x14ac:dyDescent="0.2">
      <c r="C400" s="207"/>
      <c r="D400" s="207" t="s">
        <v>379</v>
      </c>
      <c r="H400" s="44" t="s">
        <v>24</v>
      </c>
      <c r="I400" s="157">
        <f>Q397/N397</f>
        <v>123.06451612903226</v>
      </c>
      <c r="J400" s="44" t="s">
        <v>21</v>
      </c>
      <c r="S400" s="213"/>
    </row>
    <row r="401" spans="1:19" ht="12.55" x14ac:dyDescent="0.2">
      <c r="D401" s="207" t="s">
        <v>380</v>
      </c>
      <c r="H401" s="44" t="s">
        <v>24</v>
      </c>
      <c r="I401" s="220">
        <f>ABS(R397)</f>
        <v>77035322.580645144</v>
      </c>
      <c r="J401" s="44" t="s">
        <v>910</v>
      </c>
      <c r="S401" s="218"/>
    </row>
    <row r="402" spans="1:19" ht="12.55" x14ac:dyDescent="0.2">
      <c r="D402" s="207" t="s">
        <v>381</v>
      </c>
      <c r="H402" s="44" t="s">
        <v>24</v>
      </c>
      <c r="I402" s="220">
        <f>ABS(P397)</f>
        <v>33944999.999999993</v>
      </c>
      <c r="J402" s="44" t="s">
        <v>910</v>
      </c>
      <c r="R402" s="131"/>
    </row>
    <row r="403" spans="1:19" ht="12.55" x14ac:dyDescent="0.2">
      <c r="D403" s="207" t="s">
        <v>273</v>
      </c>
      <c r="H403" s="44" t="s">
        <v>24</v>
      </c>
      <c r="I403" s="220">
        <f>I401/(I400)</f>
        <v>625975.09829619911</v>
      </c>
      <c r="J403" s="44" t="s">
        <v>913</v>
      </c>
      <c r="K403" s="44" t="s">
        <v>816</v>
      </c>
    </row>
    <row r="404" spans="1:19" ht="12.55" x14ac:dyDescent="0.2">
      <c r="D404" s="207" t="s">
        <v>270</v>
      </c>
      <c r="H404" s="44" t="s">
        <v>24</v>
      </c>
      <c r="I404" s="220">
        <f>I401/(B373-I400)</f>
        <v>1353028.3286118978</v>
      </c>
      <c r="J404" s="44" t="s">
        <v>913</v>
      </c>
      <c r="K404" s="44" t="s">
        <v>817</v>
      </c>
    </row>
    <row r="405" spans="1:19" ht="12.55" x14ac:dyDescent="0.2">
      <c r="D405" s="207" t="s">
        <v>814</v>
      </c>
      <c r="H405" s="44" t="s">
        <v>24</v>
      </c>
      <c r="I405" s="220">
        <f>I401/(B375-I400)</f>
        <v>940194.88188976352</v>
      </c>
      <c r="J405" s="44" t="s">
        <v>913</v>
      </c>
    </row>
    <row r="406" spans="1:19" x14ac:dyDescent="0.2">
      <c r="D406" s="235" t="s">
        <v>823</v>
      </c>
    </row>
    <row r="407" spans="1:19" x14ac:dyDescent="0.2">
      <c r="A407" s="44">
        <f>(ductdia+2*t)/10</f>
        <v>10.5</v>
      </c>
      <c r="B407" s="44" t="s">
        <v>385</v>
      </c>
    </row>
    <row r="408" spans="1:19" x14ac:dyDescent="0.2">
      <c r="A408" s="80">
        <v>7.5</v>
      </c>
      <c r="B408" s="44" t="s">
        <v>386</v>
      </c>
      <c r="D408" s="236" t="s">
        <v>46</v>
      </c>
      <c r="E408" s="237" t="s">
        <v>47</v>
      </c>
      <c r="F408" s="237" t="s">
        <v>48</v>
      </c>
      <c r="G408" s="238" t="s">
        <v>3</v>
      </c>
      <c r="H408" s="238" t="s">
        <v>49</v>
      </c>
    </row>
    <row r="409" spans="1:19" ht="13.15" x14ac:dyDescent="0.25">
      <c r="A409" s="80">
        <v>42</v>
      </c>
      <c r="B409" s="44" t="s">
        <v>397</v>
      </c>
      <c r="D409" s="75"/>
      <c r="E409" s="239" t="s">
        <v>909</v>
      </c>
      <c r="F409" s="239" t="s">
        <v>21</v>
      </c>
      <c r="G409" s="202" t="s">
        <v>913</v>
      </c>
      <c r="H409" s="202" t="s">
        <v>931</v>
      </c>
    </row>
    <row r="410" spans="1:19" x14ac:dyDescent="0.2">
      <c r="A410" s="240">
        <v>42</v>
      </c>
      <c r="B410" s="44" t="s">
        <v>398</v>
      </c>
      <c r="D410" s="107" t="s">
        <v>50</v>
      </c>
      <c r="E410" s="241">
        <f>I132</f>
        <v>7600</v>
      </c>
      <c r="F410" s="242">
        <f>I134</f>
        <v>86.71052631578948</v>
      </c>
      <c r="G410" s="243">
        <f>E410*F410</f>
        <v>659000</v>
      </c>
      <c r="H410" s="244">
        <f>I135</f>
        <v>27208596.491228066</v>
      </c>
    </row>
    <row r="411" spans="1:19" x14ac:dyDescent="0.2">
      <c r="D411" s="245" t="s">
        <v>65</v>
      </c>
      <c r="E411" s="246"/>
      <c r="F411" s="246"/>
      <c r="G411" s="246"/>
      <c r="H411" s="246"/>
    </row>
    <row r="412" spans="1:19" x14ac:dyDescent="0.2">
      <c r="D412" s="247">
        <f>I313</f>
        <v>3</v>
      </c>
      <c r="E412" s="248">
        <f>-I313*PI()/4*A407^2</f>
        <v>-259.770442543706</v>
      </c>
      <c r="F412" s="249">
        <f>+I309</f>
        <v>40</v>
      </c>
      <c r="G412" s="184">
        <f>E412*F412</f>
        <v>-10390.817701748239</v>
      </c>
      <c r="H412" s="250">
        <f>E412*(I415-F412)^2</f>
        <v>-607613.138265474</v>
      </c>
    </row>
    <row r="413" spans="1:19" x14ac:dyDescent="0.2">
      <c r="D413" s="201"/>
      <c r="E413" s="251">
        <f>SUM(E410:E412)</f>
        <v>7340.2295574562941</v>
      </c>
      <c r="F413" s="251"/>
      <c r="G413" s="112">
        <f>SUM(G410:G412)</f>
        <v>648609.18229825178</v>
      </c>
      <c r="H413" s="252">
        <f>SUM(H410:H412)</f>
        <v>26600983.352962591</v>
      </c>
    </row>
    <row r="414" spans="1:19" x14ac:dyDescent="0.2">
      <c r="D414" s="231"/>
      <c r="I414" s="220"/>
    </row>
    <row r="415" spans="1:19" ht="11.9" x14ac:dyDescent="0.25">
      <c r="D415" s="231" t="s">
        <v>932</v>
      </c>
      <c r="H415" s="44" t="s">
        <v>24</v>
      </c>
      <c r="I415" s="157">
        <f>G413/E413</f>
        <v>88.363610050776501</v>
      </c>
      <c r="J415" s="44" t="s">
        <v>21</v>
      </c>
    </row>
    <row r="416" spans="1:19" ht="11.9" x14ac:dyDescent="0.25">
      <c r="D416" s="231" t="s">
        <v>933</v>
      </c>
      <c r="H416" s="44" t="s">
        <v>24</v>
      </c>
      <c r="I416" s="157">
        <f>B107-I415</f>
        <v>91.636389949223499</v>
      </c>
      <c r="J416" s="44" t="s">
        <v>21</v>
      </c>
    </row>
    <row r="417" spans="3:12" ht="13.15" x14ac:dyDescent="0.25">
      <c r="D417" s="207" t="s">
        <v>934</v>
      </c>
      <c r="H417" s="44" t="s">
        <v>24</v>
      </c>
      <c r="I417" s="44">
        <f>H413/I415</f>
        <v>301040.02470787277</v>
      </c>
      <c r="J417" s="44" t="s">
        <v>913</v>
      </c>
      <c r="K417" s="157"/>
    </row>
    <row r="418" spans="3:12" ht="12.55" x14ac:dyDescent="0.2">
      <c r="D418" s="207" t="s">
        <v>270</v>
      </c>
      <c r="H418" s="44" t="s">
        <v>24</v>
      </c>
      <c r="I418" s="44">
        <f>H413/(B108-I415)</f>
        <v>290288.42545742384</v>
      </c>
      <c r="J418" s="44" t="s">
        <v>913</v>
      </c>
    </row>
    <row r="419" spans="3:12" x14ac:dyDescent="0.2">
      <c r="D419" s="44" t="s">
        <v>66</v>
      </c>
      <c r="F419" s="67"/>
      <c r="G419" s="157"/>
    </row>
    <row r="420" spans="3:12" x14ac:dyDescent="0.2">
      <c r="D420" s="207" t="s">
        <v>387</v>
      </c>
      <c r="H420" s="44" t="s">
        <v>24</v>
      </c>
      <c r="I420" s="225">
        <f>I415-F412</f>
        <v>48.363610050776501</v>
      </c>
      <c r="J420" s="157" t="s">
        <v>21</v>
      </c>
    </row>
    <row r="421" spans="3:12" x14ac:dyDescent="0.2">
      <c r="C421" s="182"/>
      <c r="D421" s="207" t="s">
        <v>335</v>
      </c>
      <c r="H421" s="44" t="s">
        <v>24</v>
      </c>
      <c r="I421" s="44">
        <f>I313</f>
        <v>3</v>
      </c>
      <c r="J421" s="80"/>
    </row>
    <row r="422" spans="3:12" x14ac:dyDescent="0.2">
      <c r="D422" s="207" t="s">
        <v>388</v>
      </c>
      <c r="H422" s="44" t="s">
        <v>24</v>
      </c>
      <c r="I422" s="67">
        <f>I421*I49</f>
        <v>1171800</v>
      </c>
      <c r="J422" s="157" t="s">
        <v>38</v>
      </c>
      <c r="L422" s="253"/>
    </row>
    <row r="423" spans="3:12" x14ac:dyDescent="0.2">
      <c r="D423" s="207"/>
    </row>
    <row r="424" spans="3:12" x14ac:dyDescent="0.2">
      <c r="D424" s="44" t="s">
        <v>843</v>
      </c>
      <c r="E424" s="131" t="s">
        <v>44</v>
      </c>
      <c r="F424" s="254">
        <f>I313</f>
        <v>3</v>
      </c>
      <c r="G424" s="44" t="s">
        <v>45</v>
      </c>
    </row>
    <row r="425" spans="3:12" x14ac:dyDescent="0.2">
      <c r="D425" s="236" t="s">
        <v>46</v>
      </c>
      <c r="E425" s="237" t="s">
        <v>47</v>
      </c>
      <c r="F425" s="237" t="s">
        <v>48</v>
      </c>
      <c r="G425" s="238" t="s">
        <v>3</v>
      </c>
      <c r="H425" s="238" t="s">
        <v>49</v>
      </c>
    </row>
    <row r="426" spans="3:12" ht="13.15" x14ac:dyDescent="0.25">
      <c r="D426" s="75"/>
      <c r="E426" s="239" t="s">
        <v>909</v>
      </c>
      <c r="F426" s="239" t="s">
        <v>21</v>
      </c>
      <c r="G426" s="202" t="s">
        <v>913</v>
      </c>
      <c r="H426" s="202" t="s">
        <v>931</v>
      </c>
    </row>
    <row r="427" spans="3:12" x14ac:dyDescent="0.2">
      <c r="D427" s="183" t="s">
        <v>50</v>
      </c>
      <c r="E427" s="255">
        <f>E413</f>
        <v>7340.2295574562941</v>
      </c>
      <c r="F427" s="255">
        <f>I415</f>
        <v>88.363610050776501</v>
      </c>
      <c r="G427" s="256">
        <f>E427*F427</f>
        <v>648609.18229825178</v>
      </c>
      <c r="H427" s="257">
        <f>H413</f>
        <v>26600983.352962591</v>
      </c>
    </row>
    <row r="428" spans="3:12" ht="15.05" customHeight="1" x14ac:dyDescent="0.2">
      <c r="D428" s="416" t="str">
        <f>"Eq. area of "&amp;(F424 ) &amp; " cables"</f>
        <v>Eq. area of 3 cables</v>
      </c>
      <c r="E428" s="246"/>
      <c r="F428" s="246"/>
      <c r="G428" s="184"/>
      <c r="H428" s="246"/>
    </row>
    <row r="429" spans="3:12" x14ac:dyDescent="0.2">
      <c r="D429" s="416"/>
      <c r="E429" s="248">
        <f>F424*Aps*I27</f>
        <v>446.59375653887207</v>
      </c>
      <c r="F429" s="249">
        <f>Cable!B24</f>
        <v>40</v>
      </c>
      <c r="G429" s="184">
        <f>E429*F429</f>
        <v>17863.750261554884</v>
      </c>
      <c r="H429" s="258">
        <f>E429*(F427-F429)^2</f>
        <v>1044600.1141746364</v>
      </c>
    </row>
    <row r="430" spans="3:12" x14ac:dyDescent="0.2">
      <c r="D430" s="259"/>
      <c r="E430" s="248"/>
      <c r="F430" s="249"/>
      <c r="H430" s="416" t="s">
        <v>447</v>
      </c>
    </row>
    <row r="431" spans="3:12" x14ac:dyDescent="0.2">
      <c r="D431" s="259"/>
      <c r="E431" s="248"/>
      <c r="F431" s="249"/>
      <c r="G431" s="245"/>
      <c r="H431" s="416"/>
    </row>
    <row r="432" spans="3:12" x14ac:dyDescent="0.2">
      <c r="D432" s="245"/>
      <c r="E432" s="246"/>
      <c r="F432" s="246"/>
      <c r="G432" s="246"/>
      <c r="H432" s="246">
        <f>-E433*(F427-I435)^2</f>
        <v>-59910.424348749628</v>
      </c>
      <c r="K432" s="44" t="s">
        <v>750</v>
      </c>
    </row>
    <row r="433" spans="1:28" x14ac:dyDescent="0.2">
      <c r="D433" s="201"/>
      <c r="E433" s="201">
        <f>SUM(E427:E429)</f>
        <v>7786.8233139951662</v>
      </c>
      <c r="F433" s="251"/>
      <c r="G433" s="112">
        <f>SUM(G427:G429)</f>
        <v>666472.93255980662</v>
      </c>
      <c r="H433" s="252">
        <f>SUM(H427:H432)</f>
        <v>27585673.042788479</v>
      </c>
      <c r="K433" s="44" t="s">
        <v>634</v>
      </c>
    </row>
    <row r="435" spans="1:28" ht="11.9" x14ac:dyDescent="0.25">
      <c r="D435" s="231" t="s">
        <v>932</v>
      </c>
      <c r="I435" s="157">
        <f>G433/E433</f>
        <v>85.589836276619067</v>
      </c>
      <c r="J435" s="44" t="s">
        <v>21</v>
      </c>
      <c r="K435" s="44" t="s">
        <v>635</v>
      </c>
    </row>
    <row r="436" spans="1:28" ht="11.9" x14ac:dyDescent="0.25">
      <c r="D436" s="231" t="s">
        <v>933</v>
      </c>
      <c r="I436" s="157">
        <f>B107-I435</f>
        <v>94.410163723380933</v>
      </c>
      <c r="J436" s="44" t="s">
        <v>21</v>
      </c>
    </row>
    <row r="437" spans="1:28" ht="13.15" x14ac:dyDescent="0.25">
      <c r="D437" s="207" t="s">
        <v>934</v>
      </c>
      <c r="I437" s="157">
        <f>H433/I435</f>
        <v>322300.8039603433</v>
      </c>
      <c r="J437" s="44" t="s">
        <v>913</v>
      </c>
      <c r="K437" s="44" t="s">
        <v>748</v>
      </c>
    </row>
    <row r="438" spans="1:28" ht="13.15" x14ac:dyDescent="0.25">
      <c r="D438" s="207" t="s">
        <v>935</v>
      </c>
      <c r="H438" s="44" t="s">
        <v>24</v>
      </c>
      <c r="I438" s="157">
        <f>H433/(B108-I435)</f>
        <v>292189.65368616144</v>
      </c>
      <c r="J438" s="44" t="s">
        <v>913</v>
      </c>
      <c r="K438" s="44" t="s">
        <v>749</v>
      </c>
    </row>
    <row r="440" spans="1:28" x14ac:dyDescent="0.2">
      <c r="D440" s="222" t="s">
        <v>448</v>
      </c>
    </row>
    <row r="441" spans="1:28" x14ac:dyDescent="0.2">
      <c r="D441" s="207" t="s">
        <v>389</v>
      </c>
      <c r="H441" s="44" t="s">
        <v>24</v>
      </c>
      <c r="I441" s="227">
        <f>I317</f>
        <v>0.25</v>
      </c>
      <c r="J441" s="44" t="s">
        <v>19</v>
      </c>
    </row>
    <row r="442" spans="1:28" x14ac:dyDescent="0.2">
      <c r="D442" s="207" t="s">
        <v>390</v>
      </c>
      <c r="H442" s="44" t="s">
        <v>24</v>
      </c>
      <c r="I442" s="157">
        <f>I318</f>
        <v>2.4</v>
      </c>
      <c r="J442" s="44" t="s">
        <v>19</v>
      </c>
    </row>
    <row r="443" spans="1:28" x14ac:dyDescent="0.2">
      <c r="D443" s="207" t="s">
        <v>391</v>
      </c>
      <c r="H443" s="44" t="s">
        <v>24</v>
      </c>
      <c r="I443" s="44">
        <f>ROUND(I442*E322*100,0)</f>
        <v>240</v>
      </c>
      <c r="J443" s="44" t="s">
        <v>21</v>
      </c>
    </row>
    <row r="444" spans="1:28" ht="11.3" thickBot="1" x14ac:dyDescent="0.25"/>
    <row r="445" spans="1:28" ht="11.3" thickBot="1" x14ac:dyDescent="0.25">
      <c r="A445" s="209" t="s">
        <v>0</v>
      </c>
      <c r="B445" s="210" t="s">
        <v>1</v>
      </c>
      <c r="P445" s="157"/>
    </row>
    <row r="446" spans="1:28" x14ac:dyDescent="0.2">
      <c r="A446" s="211">
        <f t="shared" ref="A446:B452" si="60">+A326</f>
        <v>0</v>
      </c>
      <c r="B446" s="211">
        <f t="shared" si="60"/>
        <v>0</v>
      </c>
      <c r="L446" s="131"/>
      <c r="M446" s="131"/>
      <c r="N446" s="131"/>
      <c r="O446" s="131"/>
      <c r="P446" s="131"/>
      <c r="Q446" s="131"/>
      <c r="R446" s="131"/>
      <c r="S446" s="131"/>
      <c r="U446" s="67"/>
      <c r="V446" s="67"/>
      <c r="AB446" s="44" t="s">
        <v>22</v>
      </c>
    </row>
    <row r="447" spans="1:28" x14ac:dyDescent="0.2">
      <c r="A447" s="211">
        <f t="shared" si="60"/>
        <v>35</v>
      </c>
      <c r="B447" s="211">
        <f t="shared" si="60"/>
        <v>0</v>
      </c>
      <c r="S447" s="213"/>
      <c r="U447" s="67"/>
      <c r="V447" s="67"/>
    </row>
    <row r="448" spans="1:28" x14ac:dyDescent="0.2">
      <c r="A448" s="211">
        <f t="shared" si="60"/>
        <v>35</v>
      </c>
      <c r="B448" s="211">
        <f t="shared" si="60"/>
        <v>25</v>
      </c>
      <c r="S448" s="213"/>
      <c r="U448" s="67"/>
      <c r="V448" s="67"/>
    </row>
    <row r="449" spans="1:23" x14ac:dyDescent="0.2">
      <c r="A449" s="211">
        <f t="shared" si="60"/>
        <v>15</v>
      </c>
      <c r="B449" s="211">
        <f t="shared" si="60"/>
        <v>40</v>
      </c>
      <c r="S449" s="213"/>
      <c r="U449" s="67"/>
      <c r="V449" s="67"/>
    </row>
    <row r="450" spans="1:23" x14ac:dyDescent="0.2">
      <c r="A450" s="211">
        <f t="shared" si="60"/>
        <v>15</v>
      </c>
      <c r="B450" s="211">
        <f t="shared" si="60"/>
        <v>150</v>
      </c>
      <c r="S450" s="213"/>
      <c r="U450" s="67"/>
      <c r="V450" s="67"/>
    </row>
    <row r="451" spans="1:23" x14ac:dyDescent="0.2">
      <c r="A451" s="211">
        <f t="shared" si="60"/>
        <v>35</v>
      </c>
      <c r="B451" s="211">
        <f t="shared" si="60"/>
        <v>165</v>
      </c>
      <c r="S451" s="213"/>
      <c r="U451" s="67"/>
      <c r="V451" s="67"/>
    </row>
    <row r="452" spans="1:23" x14ac:dyDescent="0.2">
      <c r="A452" s="211">
        <f t="shared" si="60"/>
        <v>35</v>
      </c>
      <c r="B452" s="211">
        <f t="shared" si="60"/>
        <v>180</v>
      </c>
      <c r="S452" s="213"/>
      <c r="U452" s="67"/>
      <c r="V452" s="67"/>
    </row>
    <row r="453" spans="1:23" x14ac:dyDescent="0.2">
      <c r="A453" s="211">
        <f>I443/2</f>
        <v>120</v>
      </c>
      <c r="B453" s="211">
        <f>+B333</f>
        <v>180</v>
      </c>
      <c r="S453" s="213"/>
      <c r="U453" s="67"/>
      <c r="V453" s="67"/>
      <c r="W453" s="214"/>
    </row>
    <row r="454" spans="1:23" x14ac:dyDescent="0.2">
      <c r="A454" s="211">
        <f>+A453</f>
        <v>120</v>
      </c>
      <c r="B454" s="215">
        <f>B453+I441*100</f>
        <v>205</v>
      </c>
      <c r="S454" s="213"/>
      <c r="U454" s="67"/>
      <c r="V454" s="67"/>
    </row>
    <row r="455" spans="1:23" x14ac:dyDescent="0.2">
      <c r="A455" s="211">
        <f>-A453</f>
        <v>-120</v>
      </c>
      <c r="B455" s="215">
        <f>+B454</f>
        <v>205</v>
      </c>
      <c r="S455" s="213"/>
      <c r="U455" s="67"/>
      <c r="V455" s="67"/>
    </row>
    <row r="456" spans="1:23" x14ac:dyDescent="0.2">
      <c r="A456" s="211">
        <f>-A454</f>
        <v>-120</v>
      </c>
      <c r="B456" s="215">
        <f>B453</f>
        <v>180</v>
      </c>
      <c r="S456" s="213"/>
      <c r="U456" s="67"/>
      <c r="V456" s="67"/>
    </row>
    <row r="457" spans="1:23" x14ac:dyDescent="0.2">
      <c r="A457" s="211">
        <f>A456</f>
        <v>-120</v>
      </c>
      <c r="B457" s="211">
        <f>B452</f>
        <v>180</v>
      </c>
      <c r="S457" s="213"/>
      <c r="U457" s="67"/>
      <c r="V457" s="67"/>
    </row>
    <row r="458" spans="1:23" x14ac:dyDescent="0.2">
      <c r="A458" s="211">
        <f>-A452</f>
        <v>-35</v>
      </c>
      <c r="B458" s="211">
        <f>B452</f>
        <v>180</v>
      </c>
      <c r="S458" s="213"/>
      <c r="U458" s="67"/>
      <c r="V458" s="67"/>
    </row>
    <row r="459" spans="1:23" x14ac:dyDescent="0.2">
      <c r="A459" s="211">
        <f>-A451</f>
        <v>-35</v>
      </c>
      <c r="B459" s="211">
        <f>B451</f>
        <v>165</v>
      </c>
      <c r="S459" s="213"/>
      <c r="U459" s="67"/>
      <c r="V459" s="67"/>
    </row>
    <row r="460" spans="1:23" x14ac:dyDescent="0.2">
      <c r="A460" s="211">
        <f>-A450</f>
        <v>-15</v>
      </c>
      <c r="B460" s="211">
        <f>B450</f>
        <v>150</v>
      </c>
      <c r="S460" s="213"/>
      <c r="U460" s="67"/>
      <c r="V460" s="67"/>
    </row>
    <row r="461" spans="1:23" x14ac:dyDescent="0.2">
      <c r="A461" s="211">
        <f>-A449</f>
        <v>-15</v>
      </c>
      <c r="B461" s="211">
        <f>B449</f>
        <v>40</v>
      </c>
      <c r="S461" s="213"/>
      <c r="U461" s="67"/>
      <c r="V461" s="67"/>
    </row>
    <row r="462" spans="1:23" x14ac:dyDescent="0.2">
      <c r="A462" s="211">
        <f>-A448</f>
        <v>-35</v>
      </c>
      <c r="B462" s="211">
        <f>B448</f>
        <v>25</v>
      </c>
      <c r="S462" s="213"/>
      <c r="U462" s="67"/>
      <c r="V462" s="67"/>
    </row>
    <row r="463" spans="1:23" x14ac:dyDescent="0.2">
      <c r="A463" s="211">
        <f>-A447</f>
        <v>-35</v>
      </c>
      <c r="B463" s="211">
        <f>B447</f>
        <v>0</v>
      </c>
      <c r="S463" s="213"/>
      <c r="U463" s="67"/>
      <c r="V463" s="67"/>
    </row>
    <row r="464" spans="1:23" x14ac:dyDescent="0.2">
      <c r="A464" s="211">
        <f>+A344</f>
        <v>0</v>
      </c>
      <c r="B464" s="211">
        <f>B446</f>
        <v>0</v>
      </c>
      <c r="D464" s="44" t="s">
        <v>843</v>
      </c>
      <c r="S464" s="213"/>
      <c r="U464" s="67"/>
      <c r="V464" s="67"/>
    </row>
    <row r="465" spans="1:22" ht="15.05" hidden="1" customHeight="1" x14ac:dyDescent="0.2">
      <c r="A465" s="211"/>
      <c r="B465" s="211"/>
      <c r="S465" s="213"/>
      <c r="U465" s="67"/>
      <c r="V465" s="67"/>
    </row>
    <row r="466" spans="1:22" ht="15.05" hidden="1" customHeight="1" x14ac:dyDescent="0.2">
      <c r="A466" s="211"/>
      <c r="B466" s="211"/>
      <c r="S466" s="213"/>
      <c r="U466" s="67"/>
      <c r="V466" s="67"/>
    </row>
    <row r="467" spans="1:22" ht="15.05" hidden="1" customHeight="1" x14ac:dyDescent="0.2">
      <c r="A467" s="211"/>
      <c r="B467" s="211"/>
      <c r="S467" s="213"/>
      <c r="U467" s="67"/>
      <c r="V467" s="67"/>
    </row>
    <row r="468" spans="1:22" ht="15.05" hidden="1" customHeight="1" x14ac:dyDescent="0.2">
      <c r="A468" s="211"/>
      <c r="B468" s="211"/>
      <c r="S468" s="213"/>
      <c r="U468" s="67"/>
      <c r="V468" s="67"/>
    </row>
    <row r="469" spans="1:22" ht="15.05" hidden="1" customHeight="1" x14ac:dyDescent="0.2">
      <c r="A469" s="211"/>
      <c r="B469" s="211"/>
      <c r="S469" s="213"/>
      <c r="U469" s="67"/>
      <c r="V469" s="67"/>
    </row>
    <row r="470" spans="1:22" ht="15.05" hidden="1" customHeight="1" x14ac:dyDescent="0.2">
      <c r="A470" s="216"/>
      <c r="B470" s="216"/>
      <c r="S470" s="213"/>
      <c r="U470" s="67"/>
      <c r="V470" s="67"/>
    </row>
    <row r="471" spans="1:22" ht="15.05" hidden="1" customHeight="1" x14ac:dyDescent="0.2">
      <c r="A471" s="216"/>
      <c r="B471" s="216"/>
      <c r="S471" s="213"/>
      <c r="U471" s="67"/>
      <c r="V471" s="67"/>
    </row>
    <row r="472" spans="1:22" ht="15.05" hidden="1" customHeight="1" x14ac:dyDescent="0.2">
      <c r="A472" s="216"/>
      <c r="B472" s="216"/>
      <c r="S472" s="213"/>
      <c r="U472" s="67"/>
      <c r="V472" s="67"/>
    </row>
    <row r="473" spans="1:22" ht="15.05" hidden="1" customHeight="1" x14ac:dyDescent="0.2">
      <c r="A473" s="216"/>
      <c r="B473" s="216"/>
      <c r="S473" s="213"/>
      <c r="U473" s="67"/>
      <c r="V473" s="67"/>
    </row>
    <row r="474" spans="1:22" ht="15.05" hidden="1" customHeight="1" x14ac:dyDescent="0.2">
      <c r="A474" s="216"/>
      <c r="B474" s="216"/>
      <c r="S474" s="213"/>
      <c r="U474" s="67"/>
      <c r="V474" s="67"/>
    </row>
    <row r="475" spans="1:22" ht="15.05" hidden="1" customHeight="1" x14ac:dyDescent="0.2">
      <c r="A475" s="216"/>
      <c r="B475" s="216"/>
      <c r="S475" s="213"/>
      <c r="U475" s="67"/>
      <c r="V475" s="67"/>
    </row>
    <row r="476" spans="1:22" ht="15.05" hidden="1" customHeight="1" x14ac:dyDescent="0.2">
      <c r="N476" s="214"/>
      <c r="P476" s="217"/>
      <c r="S476" s="213"/>
    </row>
    <row r="477" spans="1:22" x14ac:dyDescent="0.2">
      <c r="D477" s="236" t="s">
        <v>46</v>
      </c>
      <c r="E477" s="237" t="s">
        <v>47</v>
      </c>
      <c r="F477" s="237" t="s">
        <v>48</v>
      </c>
      <c r="G477" s="238" t="s">
        <v>3</v>
      </c>
      <c r="H477" s="238" t="s">
        <v>49</v>
      </c>
    </row>
    <row r="478" spans="1:22" ht="13.15" x14ac:dyDescent="0.25">
      <c r="D478" s="75"/>
      <c r="E478" s="239" t="s">
        <v>909</v>
      </c>
      <c r="F478" s="239" t="s">
        <v>21</v>
      </c>
      <c r="G478" s="202" t="s">
        <v>913</v>
      </c>
      <c r="H478" s="202" t="s">
        <v>931</v>
      </c>
    </row>
    <row r="479" spans="1:22" x14ac:dyDescent="0.2">
      <c r="D479" s="419" t="s">
        <v>453</v>
      </c>
      <c r="E479" s="260">
        <f>E433</f>
        <v>7786.8233139951662</v>
      </c>
      <c r="F479" s="255">
        <f>I435</f>
        <v>85.589836276619067</v>
      </c>
      <c r="G479" s="260">
        <f>G433</f>
        <v>666472.93255980662</v>
      </c>
      <c r="H479" s="261">
        <f>H433</f>
        <v>27585673.042788479</v>
      </c>
    </row>
    <row r="480" spans="1:22" x14ac:dyDescent="0.2">
      <c r="D480" s="416"/>
      <c r="E480" s="246"/>
      <c r="F480" s="246"/>
      <c r="G480" s="184"/>
      <c r="H480" s="246"/>
    </row>
    <row r="481" spans="4:11" x14ac:dyDescent="0.2">
      <c r="D481" s="245" t="s">
        <v>51</v>
      </c>
      <c r="E481" s="262">
        <f>I443*I441*100</f>
        <v>6000</v>
      </c>
      <c r="F481" s="263">
        <f>B457+I441/2*100</f>
        <v>192.5</v>
      </c>
      <c r="G481" s="246">
        <f>E481*F481</f>
        <v>1155000</v>
      </c>
      <c r="H481" s="264">
        <f>E481*(F481-F479)^2</f>
        <v>68578698.644160688</v>
      </c>
    </row>
    <row r="482" spans="4:11" x14ac:dyDescent="0.2">
      <c r="D482" s="245"/>
      <c r="E482" s="262"/>
      <c r="F482" s="263"/>
      <c r="G482" s="184"/>
      <c r="H482" s="416" t="s">
        <v>113</v>
      </c>
    </row>
    <row r="483" spans="4:11" x14ac:dyDescent="0.2">
      <c r="D483" s="245"/>
      <c r="E483" s="262"/>
      <c r="F483" s="263"/>
      <c r="G483" s="184"/>
      <c r="H483" s="416"/>
    </row>
    <row r="484" spans="4:11" x14ac:dyDescent="0.2">
      <c r="D484" s="189"/>
      <c r="E484" s="246"/>
      <c r="F484" s="246"/>
      <c r="G484" s="184"/>
      <c r="H484" s="264">
        <f>-E485*(I487-F479)^2</f>
        <v>-29845322.776224591</v>
      </c>
    </row>
    <row r="485" spans="4:11" x14ac:dyDescent="0.2">
      <c r="D485" s="201"/>
      <c r="E485" s="201">
        <f>SUM(E479:E481)</f>
        <v>13786.823313995166</v>
      </c>
      <c r="F485" s="251"/>
      <c r="G485" s="112">
        <f>SUM(G479:G481)</f>
        <v>1821472.9325598066</v>
      </c>
      <c r="H485" s="265">
        <f>SUM(H479:H484)</f>
        <v>66319048.910724573</v>
      </c>
      <c r="J485" s="44" t="s">
        <v>784</v>
      </c>
      <c r="K485" s="44" t="s">
        <v>785</v>
      </c>
    </row>
    <row r="487" spans="4:11" ht="11.9" x14ac:dyDescent="0.25">
      <c r="D487" s="231" t="s">
        <v>932</v>
      </c>
      <c r="H487" s="44" t="s">
        <v>24</v>
      </c>
      <c r="I487" s="157">
        <f>G485/E485</f>
        <v>132.11694174036509</v>
      </c>
      <c r="J487" s="44" t="s">
        <v>21</v>
      </c>
    </row>
    <row r="488" spans="4:11" ht="11.9" x14ac:dyDescent="0.25">
      <c r="D488" s="231" t="s">
        <v>933</v>
      </c>
      <c r="H488" s="44" t="s">
        <v>24</v>
      </c>
      <c r="I488" s="157">
        <f>B454-I487</f>
        <v>72.883058259634907</v>
      </c>
      <c r="J488" s="44" t="s">
        <v>21</v>
      </c>
    </row>
    <row r="489" spans="4:11" ht="13.15" x14ac:dyDescent="0.25">
      <c r="D489" s="207" t="s">
        <v>934</v>
      </c>
      <c r="H489" s="44" t="s">
        <v>24</v>
      </c>
      <c r="I489" s="217">
        <f>H485/I487</f>
        <v>501972.32873475162</v>
      </c>
      <c r="J489" s="165" t="s">
        <v>913</v>
      </c>
      <c r="K489" s="44" t="s">
        <v>786</v>
      </c>
    </row>
    <row r="490" spans="4:11" ht="13.15" x14ac:dyDescent="0.25">
      <c r="D490" s="207" t="s">
        <v>935</v>
      </c>
      <c r="H490" s="44" t="s">
        <v>24</v>
      </c>
      <c r="I490" s="266">
        <f>H485/(B452-I487)</f>
        <v>1385021.1603261582</v>
      </c>
      <c r="J490" s="165" t="s">
        <v>913</v>
      </c>
      <c r="K490" s="44" t="s">
        <v>787</v>
      </c>
    </row>
    <row r="491" spans="4:11" ht="13.15" x14ac:dyDescent="0.25">
      <c r="D491" s="207" t="s">
        <v>936</v>
      </c>
      <c r="H491" s="44" t="s">
        <v>24</v>
      </c>
      <c r="I491" s="217">
        <f>H485/(B455-I487)</f>
        <v>909937.78930726205</v>
      </c>
      <c r="J491" s="165" t="s">
        <v>913</v>
      </c>
    </row>
    <row r="493" spans="4:11" x14ac:dyDescent="0.2">
      <c r="F493" s="67" t="s">
        <v>56</v>
      </c>
      <c r="G493" s="44">
        <f>I422</f>
        <v>1171800</v>
      </c>
      <c r="H493" s="44" t="s">
        <v>57</v>
      </c>
    </row>
    <row r="494" spans="4:11" x14ac:dyDescent="0.2">
      <c r="D494" s="201" t="s">
        <v>643</v>
      </c>
      <c r="E494" s="199">
        <f>E264</f>
        <v>0</v>
      </c>
      <c r="F494" s="199">
        <f>F264</f>
        <v>5</v>
      </c>
      <c r="G494" s="199">
        <f>G264</f>
        <v>10</v>
      </c>
      <c r="H494" s="199">
        <f>H264</f>
        <v>15</v>
      </c>
      <c r="I494" s="199">
        <f>I264</f>
        <v>0</v>
      </c>
      <c r="J494" s="44" t="s">
        <v>19</v>
      </c>
    </row>
    <row r="495" spans="4:11" x14ac:dyDescent="0.2">
      <c r="D495" s="246" t="s">
        <v>825</v>
      </c>
      <c r="E495" s="141">
        <f>HLOOKUP(E$494,$D$264:$I$268,2)/$G$493*100</f>
        <v>0</v>
      </c>
      <c r="F495" s="141">
        <f>HLOOKUP(F$494,$D$264:$I$268,2)/$G$493*100</f>
        <v>10.907929192795228</v>
      </c>
      <c r="G495" s="141">
        <f>HLOOKUP(G$494,$D$264:$I$268,2)/$G$493*100</f>
        <v>17.483408674678206</v>
      </c>
      <c r="H495" s="141">
        <f>HLOOKUP(H$494,$D$264:$I$268,2)/$G$493*100</f>
        <v>19.74137273477676</v>
      </c>
      <c r="I495" s="141">
        <f>HLOOKUP(I$494,$D$264:$I$268,2)/$G$493*100</f>
        <v>0</v>
      </c>
      <c r="J495" s="44" t="s">
        <v>21</v>
      </c>
    </row>
    <row r="496" spans="4:11" x14ac:dyDescent="0.2">
      <c r="D496" s="189"/>
      <c r="E496" s="78"/>
      <c r="F496" s="78"/>
      <c r="G496" s="78"/>
      <c r="H496" s="78"/>
      <c r="I496" s="78"/>
    </row>
    <row r="497" spans="4:10" x14ac:dyDescent="0.2">
      <c r="D497" s="246" t="s">
        <v>824</v>
      </c>
      <c r="E497" s="141">
        <f>(HLOOKUP(E$494,$D$264:$I$268,2)+HLOOKUP(E$494,$D$264:$I$268,3)+HLOOKUP(E$494,$D$264:$I$268,4))/($B$304*$G$493)*100</f>
        <v>0.58068051593397219</v>
      </c>
      <c r="F497" s="141">
        <f>(HLOOKUP(F$494,$D$264:$I$268,2)+HLOOKUP(F$494,$D$264:$I$268,3)+HLOOKUP(F$494,$D$264:$I$268,4))/($B$304*$G$493)*100</f>
        <v>37.657762694898508</v>
      </c>
      <c r="G497" s="141">
        <f>(HLOOKUP(G$494,$D$264:$I$268,2)+HLOOKUP(G$494,$D$264:$I$268,3)+HLOOKUP(G$494,$D$264:$I$268,4))/($B$304*$G$493)*100</f>
        <v>60.678518134479212</v>
      </c>
      <c r="H497" s="141">
        <f>(HLOOKUP(H$494,$D$264:$I$268,2)+HLOOKUP(H$494,$D$264:$I$268,3)+HLOOKUP(H$494,$D$264:$I$268,4))/($B$304*$G$493)*100</f>
        <v>68.767258638250567</v>
      </c>
      <c r="I497" s="141">
        <f>(HLOOKUP(I$494,$D$264:$I$268,2)+HLOOKUP(I$494,$D$264:$I$268,3)+HLOOKUP(I$494,$D$264:$I$268,4))/($B$304*$G$493)*100</f>
        <v>0.58068051593397219</v>
      </c>
      <c r="J497" s="44" t="s">
        <v>21</v>
      </c>
    </row>
    <row r="498" spans="4:10" x14ac:dyDescent="0.2">
      <c r="D498" s="189"/>
      <c r="E498" s="144"/>
      <c r="F498" s="144"/>
      <c r="G498" s="144"/>
      <c r="H498" s="144"/>
      <c r="I498" s="144"/>
    </row>
    <row r="499" spans="4:10" x14ac:dyDescent="0.2">
      <c r="F499" s="207" t="s">
        <v>58</v>
      </c>
      <c r="H499" s="44" t="s">
        <v>24</v>
      </c>
      <c r="I499" s="268">
        <f>I418/E413+I57*I418/G493</f>
        <v>45.740811069702261</v>
      </c>
      <c r="J499" s="44" t="s">
        <v>21</v>
      </c>
    </row>
    <row r="502" spans="4:10" x14ac:dyDescent="0.2">
      <c r="D502" s="207" t="s">
        <v>406</v>
      </c>
      <c r="H502" s="44" t="s">
        <v>24</v>
      </c>
      <c r="I502" s="157">
        <f>I415</f>
        <v>88.363610050776501</v>
      </c>
      <c r="J502" s="44" t="s">
        <v>21</v>
      </c>
    </row>
    <row r="503" spans="4:10" x14ac:dyDescent="0.2">
      <c r="D503" s="207" t="s">
        <v>407</v>
      </c>
      <c r="H503" s="44" t="s">
        <v>24</v>
      </c>
      <c r="I503" s="157">
        <f>I502-I499</f>
        <v>42.62279898107424</v>
      </c>
      <c r="J503" s="44" t="s">
        <v>21</v>
      </c>
    </row>
    <row r="504" spans="4:10" x14ac:dyDescent="0.2">
      <c r="D504" s="207" t="s">
        <v>410</v>
      </c>
      <c r="H504" s="44" t="s">
        <v>24</v>
      </c>
      <c r="I504" s="268">
        <f>I417/E413+17.5*I417/(G493*B304)</f>
        <v>47.434942929203714</v>
      </c>
      <c r="J504" s="44" t="s">
        <v>21</v>
      </c>
    </row>
    <row r="505" spans="4:10" x14ac:dyDescent="0.2">
      <c r="D505" s="207" t="s">
        <v>408</v>
      </c>
      <c r="H505" s="44" t="s">
        <v>24</v>
      </c>
      <c r="I505" s="157">
        <f>I502+I504</f>
        <v>135.79855297998023</v>
      </c>
      <c r="J505" s="44" t="s">
        <v>21</v>
      </c>
    </row>
    <row r="506" spans="4:10" x14ac:dyDescent="0.2">
      <c r="D506" s="44" t="s">
        <v>449</v>
      </c>
    </row>
    <row r="507" spans="4:10" x14ac:dyDescent="0.2">
      <c r="D507" s="201" t="s">
        <v>144</v>
      </c>
      <c r="E507" s="267">
        <f>E264</f>
        <v>0</v>
      </c>
      <c r="F507" s="267">
        <f>F264</f>
        <v>5</v>
      </c>
      <c r="G507" s="267">
        <f>G264</f>
        <v>10</v>
      </c>
      <c r="H507" s="267">
        <f>H264</f>
        <v>15</v>
      </c>
      <c r="I507" s="267">
        <f>I264</f>
        <v>0</v>
      </c>
      <c r="J507" s="44" t="s">
        <v>19</v>
      </c>
    </row>
    <row r="508" spans="4:10" x14ac:dyDescent="0.2">
      <c r="D508" s="189" t="s">
        <v>145</v>
      </c>
      <c r="E508" s="269">
        <f>$I$7/2-E507</f>
        <v>15</v>
      </c>
      <c r="F508" s="269">
        <f>$I$7/2-F507</f>
        <v>10</v>
      </c>
      <c r="G508" s="269">
        <f>$I$7/2-G507</f>
        <v>5</v>
      </c>
      <c r="H508" s="269">
        <f>$I$7/2-H507</f>
        <v>0</v>
      </c>
      <c r="I508" s="269">
        <f>$I$7/2-I507</f>
        <v>15</v>
      </c>
      <c r="J508" s="44" t="s">
        <v>19</v>
      </c>
    </row>
    <row r="509" spans="4:10" x14ac:dyDescent="0.2">
      <c r="D509" s="189" t="s">
        <v>110</v>
      </c>
      <c r="E509" s="234">
        <f>$I$503-HLOOKUP(E507,$D$494:$I$497,2)</f>
        <v>42.62279898107424</v>
      </c>
      <c r="F509" s="234">
        <f>$I$503-HLOOKUP(F507,$D$494:$I$497,2)</f>
        <v>31.71486978827901</v>
      </c>
      <c r="G509" s="234">
        <f>$I$503-HLOOKUP(G507,$D$494:$I$497,2)</f>
        <v>25.139390306396034</v>
      </c>
      <c r="H509" s="234">
        <f>$I$503-HLOOKUP(H507,$D$494:$I$497,2)</f>
        <v>22.88142624629748</v>
      </c>
      <c r="I509" s="234">
        <f>$I$503-HLOOKUP(I507,$D$494:$I$497,2)</f>
        <v>42.62279898107424</v>
      </c>
      <c r="J509" s="44" t="s">
        <v>21</v>
      </c>
    </row>
    <row r="510" spans="4:10" x14ac:dyDescent="0.2">
      <c r="D510" s="201" t="s">
        <v>111</v>
      </c>
      <c r="E510" s="233">
        <f>$I$505-HLOOKUP(E507,$D$494:$I$497,4)</f>
        <v>135.21787246404625</v>
      </c>
      <c r="F510" s="233">
        <f>$I$505-HLOOKUP(F507,$D$494:$I$497,4)</f>
        <v>98.140790285081721</v>
      </c>
      <c r="G510" s="233">
        <f>$I$505-HLOOKUP(G507,$D$494:$I$497,4)</f>
        <v>75.12003484550101</v>
      </c>
      <c r="H510" s="233">
        <f>$I$505-HLOOKUP(H507,$D$494:$I$497,4)</f>
        <v>67.031294341729662</v>
      </c>
      <c r="I510" s="233">
        <f>$I$505-HLOOKUP(I507,$D$494:$I$497,4)</f>
        <v>135.21787246404625</v>
      </c>
      <c r="J510" s="44" t="s">
        <v>21</v>
      </c>
    </row>
    <row r="511" spans="4:10" x14ac:dyDescent="0.2">
      <c r="D511" s="189" t="s">
        <v>411</v>
      </c>
      <c r="E511" s="234">
        <f>HLOOKUP(E508,first,$I$313+2,FALSE)</f>
        <v>88.058439061899264</v>
      </c>
      <c r="F511" s="234">
        <f>HLOOKUP(F508,first,$I$313+2,FALSE)</f>
        <v>61.359306249733002</v>
      </c>
      <c r="G511" s="234">
        <f>HLOOKUP(G508,first,$I$313+2,FALSE)</f>
        <v>45.339826562433252</v>
      </c>
      <c r="H511" s="234">
        <f>HLOOKUP(H508,first,$I$313+2,FALSE)</f>
        <v>40</v>
      </c>
      <c r="I511" s="234">
        <f>HLOOKUP(I508,first,$I$313+2,FALSE)</f>
        <v>88.058439061899264</v>
      </c>
      <c r="J511" s="44" t="s">
        <v>21</v>
      </c>
    </row>
    <row r="512" spans="4:10" x14ac:dyDescent="0.2">
      <c r="D512" s="157"/>
      <c r="E512" s="157"/>
      <c r="F512" s="157"/>
      <c r="G512" s="157"/>
      <c r="H512" s="157"/>
      <c r="I512" s="157"/>
    </row>
    <row r="583" spans="4:6" x14ac:dyDescent="0.2">
      <c r="D583" s="207"/>
    </row>
    <row r="584" spans="4:6" x14ac:dyDescent="0.2">
      <c r="F584" s="67"/>
    </row>
    <row r="585" spans="4:6" x14ac:dyDescent="0.2">
      <c r="F585" s="67"/>
    </row>
    <row r="586" spans="4:6" x14ac:dyDescent="0.2">
      <c r="F586" s="67"/>
    </row>
    <row r="587" spans="4:6" x14ac:dyDescent="0.2">
      <c r="F587" s="67"/>
    </row>
    <row r="588" spans="4:6" x14ac:dyDescent="0.2">
      <c r="F588" s="67"/>
    </row>
    <row r="589" spans="4:6" x14ac:dyDescent="0.2">
      <c r="F589" s="67"/>
    </row>
    <row r="590" spans="4:6" x14ac:dyDescent="0.2">
      <c r="F590" s="67"/>
    </row>
    <row r="591" spans="4:6" x14ac:dyDescent="0.2">
      <c r="F591" s="67"/>
    </row>
    <row r="592" spans="4:6" x14ac:dyDescent="0.2">
      <c r="F592" s="67"/>
    </row>
    <row r="593" spans="6:6" x14ac:dyDescent="0.2">
      <c r="F593" s="67"/>
    </row>
    <row r="594" spans="6:6" x14ac:dyDescent="0.2">
      <c r="F594" s="67"/>
    </row>
  </sheetData>
  <dataConsolidate/>
  <mergeCells count="6">
    <mergeCell ref="H482:H483"/>
    <mergeCell ref="C283:C284"/>
    <mergeCell ref="C286:C287"/>
    <mergeCell ref="D479:D480"/>
    <mergeCell ref="D428:D429"/>
    <mergeCell ref="H430:H431"/>
  </mergeCells>
  <pageMargins left="1" right="0" top="1" bottom="0.5" header="0.5" footer="0.25"/>
  <pageSetup paperSize="9" orientation="portrait" r:id="rId1"/>
  <headerFooter alignWithMargins="0">
    <oddFooter>&amp;C &amp;P / &amp;N</oddFooter>
  </headerFooter>
  <rowBreaks count="7" manualBreakCount="7">
    <brk id="59" min="2" max="9" man="1"/>
    <brk id="135" min="2" max="9" man="1"/>
    <brk id="223" min="2" max="9" man="1"/>
    <brk id="296" min="2" max="9" man="1"/>
    <brk id="356" min="2" max="9" man="1"/>
    <brk id="418" min="2" max="9" man="1"/>
    <brk id="512" min="2" max="9" man="1"/>
  </rowBreaks>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B2:J103"/>
  <sheetViews>
    <sheetView topLeftCell="A97" zoomScale="120" zoomScaleNormal="120" workbookViewId="0">
      <selection activeCell="D68" sqref="D68"/>
    </sheetView>
  </sheetViews>
  <sheetFormatPr defaultRowHeight="10.65" x14ac:dyDescent="0.2"/>
  <cols>
    <col min="1" max="1" width="6.5546875" style="47" customWidth="1"/>
    <col min="2" max="2" width="8.88671875" style="47" customWidth="1"/>
    <col min="3" max="3" width="9.44140625" style="47" customWidth="1"/>
    <col min="4" max="4" width="30.6640625" style="47" customWidth="1"/>
    <col min="5" max="5" width="5.33203125" style="47" customWidth="1"/>
    <col min="6" max="6" width="5.44140625" style="47" customWidth="1"/>
    <col min="7" max="7" width="8.5546875" style="47" customWidth="1"/>
    <col min="8" max="8" width="7.44140625" style="47" customWidth="1"/>
    <col min="9" max="9" width="9" style="47" hidden="1" customWidth="1"/>
    <col min="10" max="256" width="9.109375" style="47"/>
    <col min="257" max="257" width="6.5546875" style="47" customWidth="1"/>
    <col min="258" max="258" width="8.88671875" style="47" customWidth="1"/>
    <col min="259" max="259" width="9.44140625" style="47" customWidth="1"/>
    <col min="260" max="260" width="30.6640625" style="47" customWidth="1"/>
    <col min="261" max="261" width="5.33203125" style="47" customWidth="1"/>
    <col min="262" max="262" width="5.44140625" style="47" customWidth="1"/>
    <col min="263" max="263" width="8.5546875" style="47" customWidth="1"/>
    <col min="264" max="264" width="7.44140625" style="47" customWidth="1"/>
    <col min="265" max="265" width="0" style="47" hidden="1" customWidth="1"/>
    <col min="266" max="512" width="9.109375" style="47"/>
    <col min="513" max="513" width="6.5546875" style="47" customWidth="1"/>
    <col min="514" max="514" width="8.88671875" style="47" customWidth="1"/>
    <col min="515" max="515" width="9.44140625" style="47" customWidth="1"/>
    <col min="516" max="516" width="30.6640625" style="47" customWidth="1"/>
    <col min="517" max="517" width="5.33203125" style="47" customWidth="1"/>
    <col min="518" max="518" width="5.44140625" style="47" customWidth="1"/>
    <col min="519" max="519" width="8.5546875" style="47" customWidth="1"/>
    <col min="520" max="520" width="7.44140625" style="47" customWidth="1"/>
    <col min="521" max="521" width="0" style="47" hidden="1" customWidth="1"/>
    <col min="522" max="768" width="9.109375" style="47"/>
    <col min="769" max="769" width="6.5546875" style="47" customWidth="1"/>
    <col min="770" max="770" width="8.88671875" style="47" customWidth="1"/>
    <col min="771" max="771" width="9.44140625" style="47" customWidth="1"/>
    <col min="772" max="772" width="30.6640625" style="47" customWidth="1"/>
    <col min="773" max="773" width="5.33203125" style="47" customWidth="1"/>
    <col min="774" max="774" width="5.44140625" style="47" customWidth="1"/>
    <col min="775" max="775" width="8.5546875" style="47" customWidth="1"/>
    <col min="776" max="776" width="7.44140625" style="47" customWidth="1"/>
    <col min="777" max="777" width="0" style="47" hidden="1" customWidth="1"/>
    <col min="778" max="1024" width="9.109375" style="47"/>
    <col min="1025" max="1025" width="6.5546875" style="47" customWidth="1"/>
    <col min="1026" max="1026" width="8.88671875" style="47" customWidth="1"/>
    <col min="1027" max="1027" width="9.44140625" style="47" customWidth="1"/>
    <col min="1028" max="1028" width="30.6640625" style="47" customWidth="1"/>
    <col min="1029" max="1029" width="5.33203125" style="47" customWidth="1"/>
    <col min="1030" max="1030" width="5.44140625" style="47" customWidth="1"/>
    <col min="1031" max="1031" width="8.5546875" style="47" customWidth="1"/>
    <col min="1032" max="1032" width="7.44140625" style="47" customWidth="1"/>
    <col min="1033" max="1033" width="0" style="47" hidden="1" customWidth="1"/>
    <col min="1034" max="1280" width="9.109375" style="47"/>
    <col min="1281" max="1281" width="6.5546875" style="47" customWidth="1"/>
    <col min="1282" max="1282" width="8.88671875" style="47" customWidth="1"/>
    <col min="1283" max="1283" width="9.44140625" style="47" customWidth="1"/>
    <col min="1284" max="1284" width="30.6640625" style="47" customWidth="1"/>
    <col min="1285" max="1285" width="5.33203125" style="47" customWidth="1"/>
    <col min="1286" max="1286" width="5.44140625" style="47" customWidth="1"/>
    <col min="1287" max="1287" width="8.5546875" style="47" customWidth="1"/>
    <col min="1288" max="1288" width="7.44140625" style="47" customWidth="1"/>
    <col min="1289" max="1289" width="0" style="47" hidden="1" customWidth="1"/>
    <col min="1290" max="1536" width="9.109375" style="47"/>
    <col min="1537" max="1537" width="6.5546875" style="47" customWidth="1"/>
    <col min="1538" max="1538" width="8.88671875" style="47" customWidth="1"/>
    <col min="1539" max="1539" width="9.44140625" style="47" customWidth="1"/>
    <col min="1540" max="1540" width="30.6640625" style="47" customWidth="1"/>
    <col min="1541" max="1541" width="5.33203125" style="47" customWidth="1"/>
    <col min="1542" max="1542" width="5.44140625" style="47" customWidth="1"/>
    <col min="1543" max="1543" width="8.5546875" style="47" customWidth="1"/>
    <col min="1544" max="1544" width="7.44140625" style="47" customWidth="1"/>
    <col min="1545" max="1545" width="0" style="47" hidden="1" customWidth="1"/>
    <col min="1546" max="1792" width="9.109375" style="47"/>
    <col min="1793" max="1793" width="6.5546875" style="47" customWidth="1"/>
    <col min="1794" max="1794" width="8.88671875" style="47" customWidth="1"/>
    <col min="1795" max="1795" width="9.44140625" style="47" customWidth="1"/>
    <col min="1796" max="1796" width="30.6640625" style="47" customWidth="1"/>
    <col min="1797" max="1797" width="5.33203125" style="47" customWidth="1"/>
    <col min="1798" max="1798" width="5.44140625" style="47" customWidth="1"/>
    <col min="1799" max="1799" width="8.5546875" style="47" customWidth="1"/>
    <col min="1800" max="1800" width="7.44140625" style="47" customWidth="1"/>
    <col min="1801" max="1801" width="0" style="47" hidden="1" customWidth="1"/>
    <col min="1802" max="2048" width="9.109375" style="47"/>
    <col min="2049" max="2049" width="6.5546875" style="47" customWidth="1"/>
    <col min="2050" max="2050" width="8.88671875" style="47" customWidth="1"/>
    <col min="2051" max="2051" width="9.44140625" style="47" customWidth="1"/>
    <col min="2052" max="2052" width="30.6640625" style="47" customWidth="1"/>
    <col min="2053" max="2053" width="5.33203125" style="47" customWidth="1"/>
    <col min="2054" max="2054" width="5.44140625" style="47" customWidth="1"/>
    <col min="2055" max="2055" width="8.5546875" style="47" customWidth="1"/>
    <col min="2056" max="2056" width="7.44140625" style="47" customWidth="1"/>
    <col min="2057" max="2057" width="0" style="47" hidden="1" customWidth="1"/>
    <col min="2058" max="2304" width="9.109375" style="47"/>
    <col min="2305" max="2305" width="6.5546875" style="47" customWidth="1"/>
    <col min="2306" max="2306" width="8.88671875" style="47" customWidth="1"/>
    <col min="2307" max="2307" width="9.44140625" style="47" customWidth="1"/>
    <col min="2308" max="2308" width="30.6640625" style="47" customWidth="1"/>
    <col min="2309" max="2309" width="5.33203125" style="47" customWidth="1"/>
    <col min="2310" max="2310" width="5.44140625" style="47" customWidth="1"/>
    <col min="2311" max="2311" width="8.5546875" style="47" customWidth="1"/>
    <col min="2312" max="2312" width="7.44140625" style="47" customWidth="1"/>
    <col min="2313" max="2313" width="0" style="47" hidden="1" customWidth="1"/>
    <col min="2314" max="2560" width="9.109375" style="47"/>
    <col min="2561" max="2561" width="6.5546875" style="47" customWidth="1"/>
    <col min="2562" max="2562" width="8.88671875" style="47" customWidth="1"/>
    <col min="2563" max="2563" width="9.44140625" style="47" customWidth="1"/>
    <col min="2564" max="2564" width="30.6640625" style="47" customWidth="1"/>
    <col min="2565" max="2565" width="5.33203125" style="47" customWidth="1"/>
    <col min="2566" max="2566" width="5.44140625" style="47" customWidth="1"/>
    <col min="2567" max="2567" width="8.5546875" style="47" customWidth="1"/>
    <col min="2568" max="2568" width="7.44140625" style="47" customWidth="1"/>
    <col min="2569" max="2569" width="0" style="47" hidden="1" customWidth="1"/>
    <col min="2570" max="2816" width="9.109375" style="47"/>
    <col min="2817" max="2817" width="6.5546875" style="47" customWidth="1"/>
    <col min="2818" max="2818" width="8.88671875" style="47" customWidth="1"/>
    <col min="2819" max="2819" width="9.44140625" style="47" customWidth="1"/>
    <col min="2820" max="2820" width="30.6640625" style="47" customWidth="1"/>
    <col min="2821" max="2821" width="5.33203125" style="47" customWidth="1"/>
    <col min="2822" max="2822" width="5.44140625" style="47" customWidth="1"/>
    <col min="2823" max="2823" width="8.5546875" style="47" customWidth="1"/>
    <col min="2824" max="2824" width="7.44140625" style="47" customWidth="1"/>
    <col min="2825" max="2825" width="0" style="47" hidden="1" customWidth="1"/>
    <col min="2826" max="3072" width="9.109375" style="47"/>
    <col min="3073" max="3073" width="6.5546875" style="47" customWidth="1"/>
    <col min="3074" max="3074" width="8.88671875" style="47" customWidth="1"/>
    <col min="3075" max="3075" width="9.44140625" style="47" customWidth="1"/>
    <col min="3076" max="3076" width="30.6640625" style="47" customWidth="1"/>
    <col min="3077" max="3077" width="5.33203125" style="47" customWidth="1"/>
    <col min="3078" max="3078" width="5.44140625" style="47" customWidth="1"/>
    <col min="3079" max="3079" width="8.5546875" style="47" customWidth="1"/>
    <col min="3080" max="3080" width="7.44140625" style="47" customWidth="1"/>
    <col min="3081" max="3081" width="0" style="47" hidden="1" customWidth="1"/>
    <col min="3082" max="3328" width="9.109375" style="47"/>
    <col min="3329" max="3329" width="6.5546875" style="47" customWidth="1"/>
    <col min="3330" max="3330" width="8.88671875" style="47" customWidth="1"/>
    <col min="3331" max="3331" width="9.44140625" style="47" customWidth="1"/>
    <col min="3332" max="3332" width="30.6640625" style="47" customWidth="1"/>
    <col min="3333" max="3333" width="5.33203125" style="47" customWidth="1"/>
    <col min="3334" max="3334" width="5.44140625" style="47" customWidth="1"/>
    <col min="3335" max="3335" width="8.5546875" style="47" customWidth="1"/>
    <col min="3336" max="3336" width="7.44140625" style="47" customWidth="1"/>
    <col min="3337" max="3337" width="0" style="47" hidden="1" customWidth="1"/>
    <col min="3338" max="3584" width="9.109375" style="47"/>
    <col min="3585" max="3585" width="6.5546875" style="47" customWidth="1"/>
    <col min="3586" max="3586" width="8.88671875" style="47" customWidth="1"/>
    <col min="3587" max="3587" width="9.44140625" style="47" customWidth="1"/>
    <col min="3588" max="3588" width="30.6640625" style="47" customWidth="1"/>
    <col min="3589" max="3589" width="5.33203125" style="47" customWidth="1"/>
    <col min="3590" max="3590" width="5.44140625" style="47" customWidth="1"/>
    <col min="3591" max="3591" width="8.5546875" style="47" customWidth="1"/>
    <col min="3592" max="3592" width="7.44140625" style="47" customWidth="1"/>
    <col min="3593" max="3593" width="0" style="47" hidden="1" customWidth="1"/>
    <col min="3594" max="3840" width="9.109375" style="47"/>
    <col min="3841" max="3841" width="6.5546875" style="47" customWidth="1"/>
    <col min="3842" max="3842" width="8.88671875" style="47" customWidth="1"/>
    <col min="3843" max="3843" width="9.44140625" style="47" customWidth="1"/>
    <col min="3844" max="3844" width="30.6640625" style="47" customWidth="1"/>
    <col min="3845" max="3845" width="5.33203125" style="47" customWidth="1"/>
    <col min="3846" max="3846" width="5.44140625" style="47" customWidth="1"/>
    <col min="3847" max="3847" width="8.5546875" style="47" customWidth="1"/>
    <col min="3848" max="3848" width="7.44140625" style="47" customWidth="1"/>
    <col min="3849" max="3849" width="0" style="47" hidden="1" customWidth="1"/>
    <col min="3850" max="4096" width="9.109375" style="47"/>
    <col min="4097" max="4097" width="6.5546875" style="47" customWidth="1"/>
    <col min="4098" max="4098" width="8.88671875" style="47" customWidth="1"/>
    <col min="4099" max="4099" width="9.44140625" style="47" customWidth="1"/>
    <col min="4100" max="4100" width="30.6640625" style="47" customWidth="1"/>
    <col min="4101" max="4101" width="5.33203125" style="47" customWidth="1"/>
    <col min="4102" max="4102" width="5.44140625" style="47" customWidth="1"/>
    <col min="4103" max="4103" width="8.5546875" style="47" customWidth="1"/>
    <col min="4104" max="4104" width="7.44140625" style="47" customWidth="1"/>
    <col min="4105" max="4105" width="0" style="47" hidden="1" customWidth="1"/>
    <col min="4106" max="4352" width="9.109375" style="47"/>
    <col min="4353" max="4353" width="6.5546875" style="47" customWidth="1"/>
    <col min="4354" max="4354" width="8.88671875" style="47" customWidth="1"/>
    <col min="4355" max="4355" width="9.44140625" style="47" customWidth="1"/>
    <col min="4356" max="4356" width="30.6640625" style="47" customWidth="1"/>
    <col min="4357" max="4357" width="5.33203125" style="47" customWidth="1"/>
    <col min="4358" max="4358" width="5.44140625" style="47" customWidth="1"/>
    <col min="4359" max="4359" width="8.5546875" style="47" customWidth="1"/>
    <col min="4360" max="4360" width="7.44140625" style="47" customWidth="1"/>
    <col min="4361" max="4361" width="0" style="47" hidden="1" customWidth="1"/>
    <col min="4362" max="4608" width="9.109375" style="47"/>
    <col min="4609" max="4609" width="6.5546875" style="47" customWidth="1"/>
    <col min="4610" max="4610" width="8.88671875" style="47" customWidth="1"/>
    <col min="4611" max="4611" width="9.44140625" style="47" customWidth="1"/>
    <col min="4612" max="4612" width="30.6640625" style="47" customWidth="1"/>
    <col min="4613" max="4613" width="5.33203125" style="47" customWidth="1"/>
    <col min="4614" max="4614" width="5.44140625" style="47" customWidth="1"/>
    <col min="4615" max="4615" width="8.5546875" style="47" customWidth="1"/>
    <col min="4616" max="4616" width="7.44140625" style="47" customWidth="1"/>
    <col min="4617" max="4617" width="0" style="47" hidden="1" customWidth="1"/>
    <col min="4618" max="4864" width="9.109375" style="47"/>
    <col min="4865" max="4865" width="6.5546875" style="47" customWidth="1"/>
    <col min="4866" max="4866" width="8.88671875" style="47" customWidth="1"/>
    <col min="4867" max="4867" width="9.44140625" style="47" customWidth="1"/>
    <col min="4868" max="4868" width="30.6640625" style="47" customWidth="1"/>
    <col min="4869" max="4869" width="5.33203125" style="47" customWidth="1"/>
    <col min="4870" max="4870" width="5.44140625" style="47" customWidth="1"/>
    <col min="4871" max="4871" width="8.5546875" style="47" customWidth="1"/>
    <col min="4872" max="4872" width="7.44140625" style="47" customWidth="1"/>
    <col min="4873" max="4873" width="0" style="47" hidden="1" customWidth="1"/>
    <col min="4874" max="5120" width="9.109375" style="47"/>
    <col min="5121" max="5121" width="6.5546875" style="47" customWidth="1"/>
    <col min="5122" max="5122" width="8.88671875" style="47" customWidth="1"/>
    <col min="5123" max="5123" width="9.44140625" style="47" customWidth="1"/>
    <col min="5124" max="5124" width="30.6640625" style="47" customWidth="1"/>
    <col min="5125" max="5125" width="5.33203125" style="47" customWidth="1"/>
    <col min="5126" max="5126" width="5.44140625" style="47" customWidth="1"/>
    <col min="5127" max="5127" width="8.5546875" style="47" customWidth="1"/>
    <col min="5128" max="5128" width="7.44140625" style="47" customWidth="1"/>
    <col min="5129" max="5129" width="0" style="47" hidden="1" customWidth="1"/>
    <col min="5130" max="5376" width="9.109375" style="47"/>
    <col min="5377" max="5377" width="6.5546875" style="47" customWidth="1"/>
    <col min="5378" max="5378" width="8.88671875" style="47" customWidth="1"/>
    <col min="5379" max="5379" width="9.44140625" style="47" customWidth="1"/>
    <col min="5380" max="5380" width="30.6640625" style="47" customWidth="1"/>
    <col min="5381" max="5381" width="5.33203125" style="47" customWidth="1"/>
    <col min="5382" max="5382" width="5.44140625" style="47" customWidth="1"/>
    <col min="5383" max="5383" width="8.5546875" style="47" customWidth="1"/>
    <col min="5384" max="5384" width="7.44140625" style="47" customWidth="1"/>
    <col min="5385" max="5385" width="0" style="47" hidden="1" customWidth="1"/>
    <col min="5386" max="5632" width="9.109375" style="47"/>
    <col min="5633" max="5633" width="6.5546875" style="47" customWidth="1"/>
    <col min="5634" max="5634" width="8.88671875" style="47" customWidth="1"/>
    <col min="5635" max="5635" width="9.44140625" style="47" customWidth="1"/>
    <col min="5636" max="5636" width="30.6640625" style="47" customWidth="1"/>
    <col min="5637" max="5637" width="5.33203125" style="47" customWidth="1"/>
    <col min="5638" max="5638" width="5.44140625" style="47" customWidth="1"/>
    <col min="5639" max="5639" width="8.5546875" style="47" customWidth="1"/>
    <col min="5640" max="5640" width="7.44140625" style="47" customWidth="1"/>
    <col min="5641" max="5641" width="0" style="47" hidden="1" customWidth="1"/>
    <col min="5642" max="5888" width="9.109375" style="47"/>
    <col min="5889" max="5889" width="6.5546875" style="47" customWidth="1"/>
    <col min="5890" max="5890" width="8.88671875" style="47" customWidth="1"/>
    <col min="5891" max="5891" width="9.44140625" style="47" customWidth="1"/>
    <col min="5892" max="5892" width="30.6640625" style="47" customWidth="1"/>
    <col min="5893" max="5893" width="5.33203125" style="47" customWidth="1"/>
    <col min="5894" max="5894" width="5.44140625" style="47" customWidth="1"/>
    <col min="5895" max="5895" width="8.5546875" style="47" customWidth="1"/>
    <col min="5896" max="5896" width="7.44140625" style="47" customWidth="1"/>
    <col min="5897" max="5897" width="0" style="47" hidden="1" customWidth="1"/>
    <col min="5898" max="6144" width="9.109375" style="47"/>
    <col min="6145" max="6145" width="6.5546875" style="47" customWidth="1"/>
    <col min="6146" max="6146" width="8.88671875" style="47" customWidth="1"/>
    <col min="6147" max="6147" width="9.44140625" style="47" customWidth="1"/>
    <col min="6148" max="6148" width="30.6640625" style="47" customWidth="1"/>
    <col min="6149" max="6149" width="5.33203125" style="47" customWidth="1"/>
    <col min="6150" max="6150" width="5.44140625" style="47" customWidth="1"/>
    <col min="6151" max="6151" width="8.5546875" style="47" customWidth="1"/>
    <col min="6152" max="6152" width="7.44140625" style="47" customWidth="1"/>
    <col min="6153" max="6153" width="0" style="47" hidden="1" customWidth="1"/>
    <col min="6154" max="6400" width="9.109375" style="47"/>
    <col min="6401" max="6401" width="6.5546875" style="47" customWidth="1"/>
    <col min="6402" max="6402" width="8.88671875" style="47" customWidth="1"/>
    <col min="6403" max="6403" width="9.44140625" style="47" customWidth="1"/>
    <col min="6404" max="6404" width="30.6640625" style="47" customWidth="1"/>
    <col min="6405" max="6405" width="5.33203125" style="47" customWidth="1"/>
    <col min="6406" max="6406" width="5.44140625" style="47" customWidth="1"/>
    <col min="6407" max="6407" width="8.5546875" style="47" customWidth="1"/>
    <col min="6408" max="6408" width="7.44140625" style="47" customWidth="1"/>
    <col min="6409" max="6409" width="0" style="47" hidden="1" customWidth="1"/>
    <col min="6410" max="6656" width="9.109375" style="47"/>
    <col min="6657" max="6657" width="6.5546875" style="47" customWidth="1"/>
    <col min="6658" max="6658" width="8.88671875" style="47" customWidth="1"/>
    <col min="6659" max="6659" width="9.44140625" style="47" customWidth="1"/>
    <col min="6660" max="6660" width="30.6640625" style="47" customWidth="1"/>
    <col min="6661" max="6661" width="5.33203125" style="47" customWidth="1"/>
    <col min="6662" max="6662" width="5.44140625" style="47" customWidth="1"/>
    <col min="6663" max="6663" width="8.5546875" style="47" customWidth="1"/>
    <col min="6664" max="6664" width="7.44140625" style="47" customWidth="1"/>
    <col min="6665" max="6665" width="0" style="47" hidden="1" customWidth="1"/>
    <col min="6666" max="6912" width="9.109375" style="47"/>
    <col min="6913" max="6913" width="6.5546875" style="47" customWidth="1"/>
    <col min="6914" max="6914" width="8.88671875" style="47" customWidth="1"/>
    <col min="6915" max="6915" width="9.44140625" style="47" customWidth="1"/>
    <col min="6916" max="6916" width="30.6640625" style="47" customWidth="1"/>
    <col min="6917" max="6917" width="5.33203125" style="47" customWidth="1"/>
    <col min="6918" max="6918" width="5.44140625" style="47" customWidth="1"/>
    <col min="6919" max="6919" width="8.5546875" style="47" customWidth="1"/>
    <col min="6920" max="6920" width="7.44140625" style="47" customWidth="1"/>
    <col min="6921" max="6921" width="0" style="47" hidden="1" customWidth="1"/>
    <col min="6922" max="7168" width="9.109375" style="47"/>
    <col min="7169" max="7169" width="6.5546875" style="47" customWidth="1"/>
    <col min="7170" max="7170" width="8.88671875" style="47" customWidth="1"/>
    <col min="7171" max="7171" width="9.44140625" style="47" customWidth="1"/>
    <col min="7172" max="7172" width="30.6640625" style="47" customWidth="1"/>
    <col min="7173" max="7173" width="5.33203125" style="47" customWidth="1"/>
    <col min="7174" max="7174" width="5.44140625" style="47" customWidth="1"/>
    <col min="7175" max="7175" width="8.5546875" style="47" customWidth="1"/>
    <col min="7176" max="7176" width="7.44140625" style="47" customWidth="1"/>
    <col min="7177" max="7177" width="0" style="47" hidden="1" customWidth="1"/>
    <col min="7178" max="7424" width="9.109375" style="47"/>
    <col min="7425" max="7425" width="6.5546875" style="47" customWidth="1"/>
    <col min="7426" max="7426" width="8.88671875" style="47" customWidth="1"/>
    <col min="7427" max="7427" width="9.44140625" style="47" customWidth="1"/>
    <col min="7428" max="7428" width="30.6640625" style="47" customWidth="1"/>
    <col min="7429" max="7429" width="5.33203125" style="47" customWidth="1"/>
    <col min="7430" max="7430" width="5.44140625" style="47" customWidth="1"/>
    <col min="7431" max="7431" width="8.5546875" style="47" customWidth="1"/>
    <col min="7432" max="7432" width="7.44140625" style="47" customWidth="1"/>
    <col min="7433" max="7433" width="0" style="47" hidden="1" customWidth="1"/>
    <col min="7434" max="7680" width="9.109375" style="47"/>
    <col min="7681" max="7681" width="6.5546875" style="47" customWidth="1"/>
    <col min="7682" max="7682" width="8.88671875" style="47" customWidth="1"/>
    <col min="7683" max="7683" width="9.44140625" style="47" customWidth="1"/>
    <col min="7684" max="7684" width="30.6640625" style="47" customWidth="1"/>
    <col min="7685" max="7685" width="5.33203125" style="47" customWidth="1"/>
    <col min="7686" max="7686" width="5.44140625" style="47" customWidth="1"/>
    <col min="7687" max="7687" width="8.5546875" style="47" customWidth="1"/>
    <col min="7688" max="7688" width="7.44140625" style="47" customWidth="1"/>
    <col min="7689" max="7689" width="0" style="47" hidden="1" customWidth="1"/>
    <col min="7690" max="7936" width="9.109375" style="47"/>
    <col min="7937" max="7937" width="6.5546875" style="47" customWidth="1"/>
    <col min="7938" max="7938" width="8.88671875" style="47" customWidth="1"/>
    <col min="7939" max="7939" width="9.44140625" style="47" customWidth="1"/>
    <col min="7940" max="7940" width="30.6640625" style="47" customWidth="1"/>
    <col min="7941" max="7941" width="5.33203125" style="47" customWidth="1"/>
    <col min="7942" max="7942" width="5.44140625" style="47" customWidth="1"/>
    <col min="7943" max="7943" width="8.5546875" style="47" customWidth="1"/>
    <col min="7944" max="7944" width="7.44140625" style="47" customWidth="1"/>
    <col min="7945" max="7945" width="0" style="47" hidden="1" customWidth="1"/>
    <col min="7946" max="8192" width="9.109375" style="47"/>
    <col min="8193" max="8193" width="6.5546875" style="47" customWidth="1"/>
    <col min="8194" max="8194" width="8.88671875" style="47" customWidth="1"/>
    <col min="8195" max="8195" width="9.44140625" style="47" customWidth="1"/>
    <col min="8196" max="8196" width="30.6640625" style="47" customWidth="1"/>
    <col min="8197" max="8197" width="5.33203125" style="47" customWidth="1"/>
    <col min="8198" max="8198" width="5.44140625" style="47" customWidth="1"/>
    <col min="8199" max="8199" width="8.5546875" style="47" customWidth="1"/>
    <col min="8200" max="8200" width="7.44140625" style="47" customWidth="1"/>
    <col min="8201" max="8201" width="0" style="47" hidden="1" customWidth="1"/>
    <col min="8202" max="8448" width="9.109375" style="47"/>
    <col min="8449" max="8449" width="6.5546875" style="47" customWidth="1"/>
    <col min="8450" max="8450" width="8.88671875" style="47" customWidth="1"/>
    <col min="8451" max="8451" width="9.44140625" style="47" customWidth="1"/>
    <col min="8452" max="8452" width="30.6640625" style="47" customWidth="1"/>
    <col min="8453" max="8453" width="5.33203125" style="47" customWidth="1"/>
    <col min="8454" max="8454" width="5.44140625" style="47" customWidth="1"/>
    <col min="8455" max="8455" width="8.5546875" style="47" customWidth="1"/>
    <col min="8456" max="8456" width="7.44140625" style="47" customWidth="1"/>
    <col min="8457" max="8457" width="0" style="47" hidden="1" customWidth="1"/>
    <col min="8458" max="8704" width="9.109375" style="47"/>
    <col min="8705" max="8705" width="6.5546875" style="47" customWidth="1"/>
    <col min="8706" max="8706" width="8.88671875" style="47" customWidth="1"/>
    <col min="8707" max="8707" width="9.44140625" style="47" customWidth="1"/>
    <col min="8708" max="8708" width="30.6640625" style="47" customWidth="1"/>
    <col min="8709" max="8709" width="5.33203125" style="47" customWidth="1"/>
    <col min="8710" max="8710" width="5.44140625" style="47" customWidth="1"/>
    <col min="8711" max="8711" width="8.5546875" style="47" customWidth="1"/>
    <col min="8712" max="8712" width="7.44140625" style="47" customWidth="1"/>
    <col min="8713" max="8713" width="0" style="47" hidden="1" customWidth="1"/>
    <col min="8714" max="8960" width="9.109375" style="47"/>
    <col min="8961" max="8961" width="6.5546875" style="47" customWidth="1"/>
    <col min="8962" max="8962" width="8.88671875" style="47" customWidth="1"/>
    <col min="8963" max="8963" width="9.44140625" style="47" customWidth="1"/>
    <col min="8964" max="8964" width="30.6640625" style="47" customWidth="1"/>
    <col min="8965" max="8965" width="5.33203125" style="47" customWidth="1"/>
    <col min="8966" max="8966" width="5.44140625" style="47" customWidth="1"/>
    <col min="8967" max="8967" width="8.5546875" style="47" customWidth="1"/>
    <col min="8968" max="8968" width="7.44140625" style="47" customWidth="1"/>
    <col min="8969" max="8969" width="0" style="47" hidden="1" customWidth="1"/>
    <col min="8970" max="9216" width="9.109375" style="47"/>
    <col min="9217" max="9217" width="6.5546875" style="47" customWidth="1"/>
    <col min="9218" max="9218" width="8.88671875" style="47" customWidth="1"/>
    <col min="9219" max="9219" width="9.44140625" style="47" customWidth="1"/>
    <col min="9220" max="9220" width="30.6640625" style="47" customWidth="1"/>
    <col min="9221" max="9221" width="5.33203125" style="47" customWidth="1"/>
    <col min="9222" max="9222" width="5.44140625" style="47" customWidth="1"/>
    <col min="9223" max="9223" width="8.5546875" style="47" customWidth="1"/>
    <col min="9224" max="9224" width="7.44140625" style="47" customWidth="1"/>
    <col min="9225" max="9225" width="0" style="47" hidden="1" customWidth="1"/>
    <col min="9226" max="9472" width="9.109375" style="47"/>
    <col min="9473" max="9473" width="6.5546875" style="47" customWidth="1"/>
    <col min="9474" max="9474" width="8.88671875" style="47" customWidth="1"/>
    <col min="9475" max="9475" width="9.44140625" style="47" customWidth="1"/>
    <col min="9476" max="9476" width="30.6640625" style="47" customWidth="1"/>
    <col min="9477" max="9477" width="5.33203125" style="47" customWidth="1"/>
    <col min="9478" max="9478" width="5.44140625" style="47" customWidth="1"/>
    <col min="9479" max="9479" width="8.5546875" style="47" customWidth="1"/>
    <col min="9480" max="9480" width="7.44140625" style="47" customWidth="1"/>
    <col min="9481" max="9481" width="0" style="47" hidden="1" customWidth="1"/>
    <col min="9482" max="9728" width="9.109375" style="47"/>
    <col min="9729" max="9729" width="6.5546875" style="47" customWidth="1"/>
    <col min="9730" max="9730" width="8.88671875" style="47" customWidth="1"/>
    <col min="9731" max="9731" width="9.44140625" style="47" customWidth="1"/>
    <col min="9732" max="9732" width="30.6640625" style="47" customWidth="1"/>
    <col min="9733" max="9733" width="5.33203125" style="47" customWidth="1"/>
    <col min="9734" max="9734" width="5.44140625" style="47" customWidth="1"/>
    <col min="9735" max="9735" width="8.5546875" style="47" customWidth="1"/>
    <col min="9736" max="9736" width="7.44140625" style="47" customWidth="1"/>
    <col min="9737" max="9737" width="0" style="47" hidden="1" customWidth="1"/>
    <col min="9738" max="9984" width="9.109375" style="47"/>
    <col min="9985" max="9985" width="6.5546875" style="47" customWidth="1"/>
    <col min="9986" max="9986" width="8.88671875" style="47" customWidth="1"/>
    <col min="9987" max="9987" width="9.44140625" style="47" customWidth="1"/>
    <col min="9988" max="9988" width="30.6640625" style="47" customWidth="1"/>
    <col min="9989" max="9989" width="5.33203125" style="47" customWidth="1"/>
    <col min="9990" max="9990" width="5.44140625" style="47" customWidth="1"/>
    <col min="9991" max="9991" width="8.5546875" style="47" customWidth="1"/>
    <col min="9992" max="9992" width="7.44140625" style="47" customWidth="1"/>
    <col min="9993" max="9993" width="0" style="47" hidden="1" customWidth="1"/>
    <col min="9994" max="10240" width="9.109375" style="47"/>
    <col min="10241" max="10241" width="6.5546875" style="47" customWidth="1"/>
    <col min="10242" max="10242" width="8.88671875" style="47" customWidth="1"/>
    <col min="10243" max="10243" width="9.44140625" style="47" customWidth="1"/>
    <col min="10244" max="10244" width="30.6640625" style="47" customWidth="1"/>
    <col min="10245" max="10245" width="5.33203125" style="47" customWidth="1"/>
    <col min="10246" max="10246" width="5.44140625" style="47" customWidth="1"/>
    <col min="10247" max="10247" width="8.5546875" style="47" customWidth="1"/>
    <col min="10248" max="10248" width="7.44140625" style="47" customWidth="1"/>
    <col min="10249" max="10249" width="0" style="47" hidden="1" customWidth="1"/>
    <col min="10250" max="10496" width="9.109375" style="47"/>
    <col min="10497" max="10497" width="6.5546875" style="47" customWidth="1"/>
    <col min="10498" max="10498" width="8.88671875" style="47" customWidth="1"/>
    <col min="10499" max="10499" width="9.44140625" style="47" customWidth="1"/>
    <col min="10500" max="10500" width="30.6640625" style="47" customWidth="1"/>
    <col min="10501" max="10501" width="5.33203125" style="47" customWidth="1"/>
    <col min="10502" max="10502" width="5.44140625" style="47" customWidth="1"/>
    <col min="10503" max="10503" width="8.5546875" style="47" customWidth="1"/>
    <col min="10504" max="10504" width="7.44140625" style="47" customWidth="1"/>
    <col min="10505" max="10505" width="0" style="47" hidden="1" customWidth="1"/>
    <col min="10506" max="10752" width="9.109375" style="47"/>
    <col min="10753" max="10753" width="6.5546875" style="47" customWidth="1"/>
    <col min="10754" max="10754" width="8.88671875" style="47" customWidth="1"/>
    <col min="10755" max="10755" width="9.44140625" style="47" customWidth="1"/>
    <col min="10756" max="10756" width="30.6640625" style="47" customWidth="1"/>
    <col min="10757" max="10757" width="5.33203125" style="47" customWidth="1"/>
    <col min="10758" max="10758" width="5.44140625" style="47" customWidth="1"/>
    <col min="10759" max="10759" width="8.5546875" style="47" customWidth="1"/>
    <col min="10760" max="10760" width="7.44140625" style="47" customWidth="1"/>
    <col min="10761" max="10761" width="0" style="47" hidden="1" customWidth="1"/>
    <col min="10762" max="11008" width="9.109375" style="47"/>
    <col min="11009" max="11009" width="6.5546875" style="47" customWidth="1"/>
    <col min="11010" max="11010" width="8.88671875" style="47" customWidth="1"/>
    <col min="11011" max="11011" width="9.44140625" style="47" customWidth="1"/>
    <col min="11012" max="11012" width="30.6640625" style="47" customWidth="1"/>
    <col min="11013" max="11013" width="5.33203125" style="47" customWidth="1"/>
    <col min="11014" max="11014" width="5.44140625" style="47" customWidth="1"/>
    <col min="11015" max="11015" width="8.5546875" style="47" customWidth="1"/>
    <col min="11016" max="11016" width="7.44140625" style="47" customWidth="1"/>
    <col min="11017" max="11017" width="0" style="47" hidden="1" customWidth="1"/>
    <col min="11018" max="11264" width="9.109375" style="47"/>
    <col min="11265" max="11265" width="6.5546875" style="47" customWidth="1"/>
    <col min="11266" max="11266" width="8.88671875" style="47" customWidth="1"/>
    <col min="11267" max="11267" width="9.44140625" style="47" customWidth="1"/>
    <col min="11268" max="11268" width="30.6640625" style="47" customWidth="1"/>
    <col min="11269" max="11269" width="5.33203125" style="47" customWidth="1"/>
    <col min="11270" max="11270" width="5.44140625" style="47" customWidth="1"/>
    <col min="11271" max="11271" width="8.5546875" style="47" customWidth="1"/>
    <col min="11272" max="11272" width="7.44140625" style="47" customWidth="1"/>
    <col min="11273" max="11273" width="0" style="47" hidden="1" customWidth="1"/>
    <col min="11274" max="11520" width="9.109375" style="47"/>
    <col min="11521" max="11521" width="6.5546875" style="47" customWidth="1"/>
    <col min="11522" max="11522" width="8.88671875" style="47" customWidth="1"/>
    <col min="11523" max="11523" width="9.44140625" style="47" customWidth="1"/>
    <col min="11524" max="11524" width="30.6640625" style="47" customWidth="1"/>
    <col min="11525" max="11525" width="5.33203125" style="47" customWidth="1"/>
    <col min="11526" max="11526" width="5.44140625" style="47" customWidth="1"/>
    <col min="11527" max="11527" width="8.5546875" style="47" customWidth="1"/>
    <col min="11528" max="11528" width="7.44140625" style="47" customWidth="1"/>
    <col min="11529" max="11529" width="0" style="47" hidden="1" customWidth="1"/>
    <col min="11530" max="11776" width="9.109375" style="47"/>
    <col min="11777" max="11777" width="6.5546875" style="47" customWidth="1"/>
    <col min="11778" max="11778" width="8.88671875" style="47" customWidth="1"/>
    <col min="11779" max="11779" width="9.44140625" style="47" customWidth="1"/>
    <col min="11780" max="11780" width="30.6640625" style="47" customWidth="1"/>
    <col min="11781" max="11781" width="5.33203125" style="47" customWidth="1"/>
    <col min="11782" max="11782" width="5.44140625" style="47" customWidth="1"/>
    <col min="11783" max="11783" width="8.5546875" style="47" customWidth="1"/>
    <col min="11784" max="11784" width="7.44140625" style="47" customWidth="1"/>
    <col min="11785" max="11785" width="0" style="47" hidden="1" customWidth="1"/>
    <col min="11786" max="12032" width="9.109375" style="47"/>
    <col min="12033" max="12033" width="6.5546875" style="47" customWidth="1"/>
    <col min="12034" max="12034" width="8.88671875" style="47" customWidth="1"/>
    <col min="12035" max="12035" width="9.44140625" style="47" customWidth="1"/>
    <col min="12036" max="12036" width="30.6640625" style="47" customWidth="1"/>
    <col min="12037" max="12037" width="5.33203125" style="47" customWidth="1"/>
    <col min="12038" max="12038" width="5.44140625" style="47" customWidth="1"/>
    <col min="12039" max="12039" width="8.5546875" style="47" customWidth="1"/>
    <col min="12040" max="12040" width="7.44140625" style="47" customWidth="1"/>
    <col min="12041" max="12041" width="0" style="47" hidden="1" customWidth="1"/>
    <col min="12042" max="12288" width="9.109375" style="47"/>
    <col min="12289" max="12289" width="6.5546875" style="47" customWidth="1"/>
    <col min="12290" max="12290" width="8.88671875" style="47" customWidth="1"/>
    <col min="12291" max="12291" width="9.44140625" style="47" customWidth="1"/>
    <col min="12292" max="12292" width="30.6640625" style="47" customWidth="1"/>
    <col min="12293" max="12293" width="5.33203125" style="47" customWidth="1"/>
    <col min="12294" max="12294" width="5.44140625" style="47" customWidth="1"/>
    <col min="12295" max="12295" width="8.5546875" style="47" customWidth="1"/>
    <col min="12296" max="12296" width="7.44140625" style="47" customWidth="1"/>
    <col min="12297" max="12297" width="0" style="47" hidden="1" customWidth="1"/>
    <col min="12298" max="12544" width="9.109375" style="47"/>
    <col min="12545" max="12545" width="6.5546875" style="47" customWidth="1"/>
    <col min="12546" max="12546" width="8.88671875" style="47" customWidth="1"/>
    <col min="12547" max="12547" width="9.44140625" style="47" customWidth="1"/>
    <col min="12548" max="12548" width="30.6640625" style="47" customWidth="1"/>
    <col min="12549" max="12549" width="5.33203125" style="47" customWidth="1"/>
    <col min="12550" max="12550" width="5.44140625" style="47" customWidth="1"/>
    <col min="12551" max="12551" width="8.5546875" style="47" customWidth="1"/>
    <col min="12552" max="12552" width="7.44140625" style="47" customWidth="1"/>
    <col min="12553" max="12553" width="0" style="47" hidden="1" customWidth="1"/>
    <col min="12554" max="12800" width="9.109375" style="47"/>
    <col min="12801" max="12801" width="6.5546875" style="47" customWidth="1"/>
    <col min="12802" max="12802" width="8.88671875" style="47" customWidth="1"/>
    <col min="12803" max="12803" width="9.44140625" style="47" customWidth="1"/>
    <col min="12804" max="12804" width="30.6640625" style="47" customWidth="1"/>
    <col min="12805" max="12805" width="5.33203125" style="47" customWidth="1"/>
    <col min="12806" max="12806" width="5.44140625" style="47" customWidth="1"/>
    <col min="12807" max="12807" width="8.5546875" style="47" customWidth="1"/>
    <col min="12808" max="12808" width="7.44140625" style="47" customWidth="1"/>
    <col min="12809" max="12809" width="0" style="47" hidden="1" customWidth="1"/>
    <col min="12810" max="13056" width="9.109375" style="47"/>
    <col min="13057" max="13057" width="6.5546875" style="47" customWidth="1"/>
    <col min="13058" max="13058" width="8.88671875" style="47" customWidth="1"/>
    <col min="13059" max="13059" width="9.44140625" style="47" customWidth="1"/>
    <col min="13060" max="13060" width="30.6640625" style="47" customWidth="1"/>
    <col min="13061" max="13061" width="5.33203125" style="47" customWidth="1"/>
    <col min="13062" max="13062" width="5.44140625" style="47" customWidth="1"/>
    <col min="13063" max="13063" width="8.5546875" style="47" customWidth="1"/>
    <col min="13064" max="13064" width="7.44140625" style="47" customWidth="1"/>
    <col min="13065" max="13065" width="0" style="47" hidden="1" customWidth="1"/>
    <col min="13066" max="13312" width="9.109375" style="47"/>
    <col min="13313" max="13313" width="6.5546875" style="47" customWidth="1"/>
    <col min="13314" max="13314" width="8.88671875" style="47" customWidth="1"/>
    <col min="13315" max="13315" width="9.44140625" style="47" customWidth="1"/>
    <col min="13316" max="13316" width="30.6640625" style="47" customWidth="1"/>
    <col min="13317" max="13317" width="5.33203125" style="47" customWidth="1"/>
    <col min="13318" max="13318" width="5.44140625" style="47" customWidth="1"/>
    <col min="13319" max="13319" width="8.5546875" style="47" customWidth="1"/>
    <col min="13320" max="13320" width="7.44140625" style="47" customWidth="1"/>
    <col min="13321" max="13321" width="0" style="47" hidden="1" customWidth="1"/>
    <col min="13322" max="13568" width="9.109375" style="47"/>
    <col min="13569" max="13569" width="6.5546875" style="47" customWidth="1"/>
    <col min="13570" max="13570" width="8.88671875" style="47" customWidth="1"/>
    <col min="13571" max="13571" width="9.44140625" style="47" customWidth="1"/>
    <col min="13572" max="13572" width="30.6640625" style="47" customWidth="1"/>
    <col min="13573" max="13573" width="5.33203125" style="47" customWidth="1"/>
    <col min="13574" max="13574" width="5.44140625" style="47" customWidth="1"/>
    <col min="13575" max="13575" width="8.5546875" style="47" customWidth="1"/>
    <col min="13576" max="13576" width="7.44140625" style="47" customWidth="1"/>
    <col min="13577" max="13577" width="0" style="47" hidden="1" customWidth="1"/>
    <col min="13578" max="13824" width="9.109375" style="47"/>
    <col min="13825" max="13825" width="6.5546875" style="47" customWidth="1"/>
    <col min="13826" max="13826" width="8.88671875" style="47" customWidth="1"/>
    <col min="13827" max="13827" width="9.44140625" style="47" customWidth="1"/>
    <col min="13828" max="13828" width="30.6640625" style="47" customWidth="1"/>
    <col min="13829" max="13829" width="5.33203125" style="47" customWidth="1"/>
    <col min="13830" max="13830" width="5.44140625" style="47" customWidth="1"/>
    <col min="13831" max="13831" width="8.5546875" style="47" customWidth="1"/>
    <col min="13832" max="13832" width="7.44140625" style="47" customWidth="1"/>
    <col min="13833" max="13833" width="0" style="47" hidden="1" customWidth="1"/>
    <col min="13834" max="14080" width="9.109375" style="47"/>
    <col min="14081" max="14081" width="6.5546875" style="47" customWidth="1"/>
    <col min="14082" max="14082" width="8.88671875" style="47" customWidth="1"/>
    <col min="14083" max="14083" width="9.44140625" style="47" customWidth="1"/>
    <col min="14084" max="14084" width="30.6640625" style="47" customWidth="1"/>
    <col min="14085" max="14085" width="5.33203125" style="47" customWidth="1"/>
    <col min="14086" max="14086" width="5.44140625" style="47" customWidth="1"/>
    <col min="14087" max="14087" width="8.5546875" style="47" customWidth="1"/>
    <col min="14088" max="14088" width="7.44140625" style="47" customWidth="1"/>
    <col min="14089" max="14089" width="0" style="47" hidden="1" customWidth="1"/>
    <col min="14090" max="14336" width="9.109375" style="47"/>
    <col min="14337" max="14337" width="6.5546875" style="47" customWidth="1"/>
    <col min="14338" max="14338" width="8.88671875" style="47" customWidth="1"/>
    <col min="14339" max="14339" width="9.44140625" style="47" customWidth="1"/>
    <col min="14340" max="14340" width="30.6640625" style="47" customWidth="1"/>
    <col min="14341" max="14341" width="5.33203125" style="47" customWidth="1"/>
    <col min="14342" max="14342" width="5.44140625" style="47" customWidth="1"/>
    <col min="14343" max="14343" width="8.5546875" style="47" customWidth="1"/>
    <col min="14344" max="14344" width="7.44140625" style="47" customWidth="1"/>
    <col min="14345" max="14345" width="0" style="47" hidden="1" customWidth="1"/>
    <col min="14346" max="14592" width="9.109375" style="47"/>
    <col min="14593" max="14593" width="6.5546875" style="47" customWidth="1"/>
    <col min="14594" max="14594" width="8.88671875" style="47" customWidth="1"/>
    <col min="14595" max="14595" width="9.44140625" style="47" customWidth="1"/>
    <col min="14596" max="14596" width="30.6640625" style="47" customWidth="1"/>
    <col min="14597" max="14597" width="5.33203125" style="47" customWidth="1"/>
    <col min="14598" max="14598" width="5.44140625" style="47" customWidth="1"/>
    <col min="14599" max="14599" width="8.5546875" style="47" customWidth="1"/>
    <col min="14600" max="14600" width="7.44140625" style="47" customWidth="1"/>
    <col min="14601" max="14601" width="0" style="47" hidden="1" customWidth="1"/>
    <col min="14602" max="14848" width="9.109375" style="47"/>
    <col min="14849" max="14849" width="6.5546875" style="47" customWidth="1"/>
    <col min="14850" max="14850" width="8.88671875" style="47" customWidth="1"/>
    <col min="14851" max="14851" width="9.44140625" style="47" customWidth="1"/>
    <col min="14852" max="14852" width="30.6640625" style="47" customWidth="1"/>
    <col min="14853" max="14853" width="5.33203125" style="47" customWidth="1"/>
    <col min="14854" max="14854" width="5.44140625" style="47" customWidth="1"/>
    <col min="14855" max="14855" width="8.5546875" style="47" customWidth="1"/>
    <col min="14856" max="14856" width="7.44140625" style="47" customWidth="1"/>
    <col min="14857" max="14857" width="0" style="47" hidden="1" customWidth="1"/>
    <col min="14858" max="15104" width="9.109375" style="47"/>
    <col min="15105" max="15105" width="6.5546875" style="47" customWidth="1"/>
    <col min="15106" max="15106" width="8.88671875" style="47" customWidth="1"/>
    <col min="15107" max="15107" width="9.44140625" style="47" customWidth="1"/>
    <col min="15108" max="15108" width="30.6640625" style="47" customWidth="1"/>
    <col min="15109" max="15109" width="5.33203125" style="47" customWidth="1"/>
    <col min="15110" max="15110" width="5.44140625" style="47" customWidth="1"/>
    <col min="15111" max="15111" width="8.5546875" style="47" customWidth="1"/>
    <col min="15112" max="15112" width="7.44140625" style="47" customWidth="1"/>
    <col min="15113" max="15113" width="0" style="47" hidden="1" customWidth="1"/>
    <col min="15114" max="15360" width="9.109375" style="47"/>
    <col min="15361" max="15361" width="6.5546875" style="47" customWidth="1"/>
    <col min="15362" max="15362" width="8.88671875" style="47" customWidth="1"/>
    <col min="15363" max="15363" width="9.44140625" style="47" customWidth="1"/>
    <col min="15364" max="15364" width="30.6640625" style="47" customWidth="1"/>
    <col min="15365" max="15365" width="5.33203125" style="47" customWidth="1"/>
    <col min="15366" max="15366" width="5.44140625" style="47" customWidth="1"/>
    <col min="15367" max="15367" width="8.5546875" style="47" customWidth="1"/>
    <col min="15368" max="15368" width="7.44140625" style="47" customWidth="1"/>
    <col min="15369" max="15369" width="0" style="47" hidden="1" customWidth="1"/>
    <col min="15370" max="15616" width="9.109375" style="47"/>
    <col min="15617" max="15617" width="6.5546875" style="47" customWidth="1"/>
    <col min="15618" max="15618" width="8.88671875" style="47" customWidth="1"/>
    <col min="15619" max="15619" width="9.44140625" style="47" customWidth="1"/>
    <col min="15620" max="15620" width="30.6640625" style="47" customWidth="1"/>
    <col min="15621" max="15621" width="5.33203125" style="47" customWidth="1"/>
    <col min="15622" max="15622" width="5.44140625" style="47" customWidth="1"/>
    <col min="15623" max="15623" width="8.5546875" style="47" customWidth="1"/>
    <col min="15624" max="15624" width="7.44140625" style="47" customWidth="1"/>
    <col min="15625" max="15625" width="0" style="47" hidden="1" customWidth="1"/>
    <col min="15626" max="15872" width="9.109375" style="47"/>
    <col min="15873" max="15873" width="6.5546875" style="47" customWidth="1"/>
    <col min="15874" max="15874" width="8.88671875" style="47" customWidth="1"/>
    <col min="15875" max="15875" width="9.44140625" style="47" customWidth="1"/>
    <col min="15876" max="15876" width="30.6640625" style="47" customWidth="1"/>
    <col min="15877" max="15877" width="5.33203125" style="47" customWidth="1"/>
    <col min="15878" max="15878" width="5.44140625" style="47" customWidth="1"/>
    <col min="15879" max="15879" width="8.5546875" style="47" customWidth="1"/>
    <col min="15880" max="15880" width="7.44140625" style="47" customWidth="1"/>
    <col min="15881" max="15881" width="0" style="47" hidden="1" customWidth="1"/>
    <col min="15882" max="16128" width="9.109375" style="47"/>
    <col min="16129" max="16129" width="6.5546875" style="47" customWidth="1"/>
    <col min="16130" max="16130" width="8.88671875" style="47" customWidth="1"/>
    <col min="16131" max="16131" width="9.44140625" style="47" customWidth="1"/>
    <col min="16132" max="16132" width="30.6640625" style="47" customWidth="1"/>
    <col min="16133" max="16133" width="5.33203125" style="47" customWidth="1"/>
    <col min="16134" max="16134" width="5.44140625" style="47" customWidth="1"/>
    <col min="16135" max="16135" width="8.5546875" style="47" customWidth="1"/>
    <col min="16136" max="16136" width="7.44140625" style="47" customWidth="1"/>
    <col min="16137" max="16137" width="0" style="47" hidden="1" customWidth="1"/>
    <col min="16138" max="16384" width="9.109375" style="47"/>
  </cols>
  <sheetData>
    <row r="2" spans="2:10" x14ac:dyDescent="0.2">
      <c r="B2" s="270" t="s">
        <v>963</v>
      </c>
    </row>
    <row r="3" spans="2:10" x14ac:dyDescent="0.2">
      <c r="B3" s="47" t="s">
        <v>964</v>
      </c>
    </row>
    <row r="5" spans="2:10" x14ac:dyDescent="0.2">
      <c r="B5" s="270" t="s">
        <v>965</v>
      </c>
    </row>
    <row r="6" spans="2:10" x14ac:dyDescent="0.2">
      <c r="B6" s="47" t="s">
        <v>340</v>
      </c>
      <c r="F6" s="47" t="s">
        <v>24</v>
      </c>
      <c r="G6" s="47">
        <v>8.6999999999999993</v>
      </c>
      <c r="H6" s="47" t="s">
        <v>19</v>
      </c>
    </row>
    <row r="7" spans="2:10" x14ac:dyDescent="0.2">
      <c r="B7" s="47" t="s">
        <v>966</v>
      </c>
      <c r="F7" s="47" t="s">
        <v>24</v>
      </c>
      <c r="G7" s="47">
        <v>1.74</v>
      </c>
      <c r="H7" s="47" t="s">
        <v>19</v>
      </c>
    </row>
    <row r="8" spans="2:10" x14ac:dyDescent="0.2">
      <c r="B8" s="47" t="s">
        <v>967</v>
      </c>
      <c r="F8" s="47" t="s">
        <v>24</v>
      </c>
      <c r="G8" s="47">
        <v>1.74</v>
      </c>
      <c r="H8" s="47" t="s">
        <v>19</v>
      </c>
    </row>
    <row r="9" spans="2:10" x14ac:dyDescent="0.2">
      <c r="B9" s="47" t="s">
        <v>968</v>
      </c>
      <c r="F9" s="47" t="s">
        <v>24</v>
      </c>
      <c r="G9" s="47">
        <v>20</v>
      </c>
      <c r="H9" s="47" t="s">
        <v>19</v>
      </c>
    </row>
    <row r="10" spans="2:10" x14ac:dyDescent="0.2">
      <c r="B10" s="47" t="s">
        <v>969</v>
      </c>
      <c r="E10" s="47" t="s">
        <v>970</v>
      </c>
    </row>
    <row r="11" spans="2:10" x14ac:dyDescent="0.2">
      <c r="C11" s="47" t="s">
        <v>971</v>
      </c>
      <c r="D11" s="47" t="s">
        <v>972</v>
      </c>
    </row>
    <row r="12" spans="2:10" x14ac:dyDescent="0.2">
      <c r="C12" s="47" t="s">
        <v>974</v>
      </c>
      <c r="D12" s="47" t="s">
        <v>975</v>
      </c>
    </row>
    <row r="13" spans="2:10" x14ac:dyDescent="0.2">
      <c r="C13" s="47" t="s">
        <v>973</v>
      </c>
      <c r="G13" s="272">
        <f>G9/G8</f>
        <v>11.494252873563218</v>
      </c>
    </row>
    <row r="14" spans="2:10" x14ac:dyDescent="0.2">
      <c r="C14" s="47" t="s">
        <v>971</v>
      </c>
      <c r="G14" s="273">
        <v>2.6</v>
      </c>
      <c r="J14" s="47" t="s">
        <v>1014</v>
      </c>
    </row>
    <row r="16" spans="2:10" x14ac:dyDescent="0.2">
      <c r="B16" s="270" t="s">
        <v>976</v>
      </c>
    </row>
    <row r="17" spans="2:8" x14ac:dyDescent="0.2">
      <c r="B17" s="47" t="s">
        <v>525</v>
      </c>
      <c r="D17" s="47" t="s">
        <v>977</v>
      </c>
      <c r="G17" s="272">
        <f>1+4.5/(6+G8)</f>
        <v>1.5813953488372094</v>
      </c>
    </row>
    <row r="18" spans="2:8" x14ac:dyDescent="0.2">
      <c r="B18" s="47" t="s">
        <v>1001</v>
      </c>
    </row>
    <row r="19" spans="2:8" x14ac:dyDescent="0.2">
      <c r="B19" s="47" t="s">
        <v>978</v>
      </c>
      <c r="D19" s="47" t="s">
        <v>979</v>
      </c>
    </row>
    <row r="20" spans="2:8" x14ac:dyDescent="0.2">
      <c r="C20" s="47" t="s">
        <v>980</v>
      </c>
      <c r="D20" s="47" t="s">
        <v>982</v>
      </c>
    </row>
    <row r="21" spans="2:8" x14ac:dyDescent="0.2">
      <c r="D21" s="47" t="str">
        <f>"0.25+2 x "&amp;(wearing_coat/1000)</f>
        <v>0.25+2 x 0.08</v>
      </c>
      <c r="F21" s="47" t="s">
        <v>24</v>
      </c>
      <c r="G21" s="47">
        <f>0.25+2*wearing_coat/1000</f>
        <v>0.41000000000000003</v>
      </c>
      <c r="H21" s="47" t="s">
        <v>19</v>
      </c>
    </row>
    <row r="22" spans="2:8" x14ac:dyDescent="0.2">
      <c r="B22" s="47" t="s">
        <v>983</v>
      </c>
    </row>
    <row r="23" spans="2:8" x14ac:dyDescent="0.2">
      <c r="B23" s="47" t="s">
        <v>984</v>
      </c>
    </row>
    <row r="24" spans="2:8" x14ac:dyDescent="0.2">
      <c r="D24" s="47" t="str">
        <f>"=wheel dim. Along span+2 x ("&amp;(wearing_coat/1000)&amp;"+"&amp;(ds/100)&amp;")"</f>
        <v>=wheel dim. Along span+2 x (0.08+0.25)</v>
      </c>
      <c r="F24" s="47" t="s">
        <v>24</v>
      </c>
      <c r="G24" s="47">
        <f>0.5+2*(wearing_coat/1000+ds/100)</f>
        <v>1.1600000000000001</v>
      </c>
      <c r="H24" s="47" t="s">
        <v>19</v>
      </c>
    </row>
    <row r="26" spans="2:8" x14ac:dyDescent="0.2">
      <c r="B26" s="47" t="s">
        <v>985</v>
      </c>
      <c r="F26" s="47" t="s">
        <v>24</v>
      </c>
      <c r="G26" s="273">
        <v>57</v>
      </c>
      <c r="H26" s="47" t="s">
        <v>25</v>
      </c>
    </row>
    <row r="27" spans="2:8" x14ac:dyDescent="0.2">
      <c r="C27" s="47" t="s">
        <v>986</v>
      </c>
      <c r="F27" s="47" t="s">
        <v>24</v>
      </c>
      <c r="G27" s="272">
        <f>$G$17*G26</f>
        <v>90.139534883720941</v>
      </c>
      <c r="H27" s="47" t="s">
        <v>25</v>
      </c>
    </row>
    <row r="28" spans="2:8" x14ac:dyDescent="0.2">
      <c r="C28" s="47" t="s">
        <v>987</v>
      </c>
    </row>
    <row r="29" spans="2:8" x14ac:dyDescent="0.2">
      <c r="C29" s="47" t="s">
        <v>11</v>
      </c>
      <c r="F29" s="47" t="s">
        <v>24</v>
      </c>
      <c r="G29" s="273">
        <v>0.74</v>
      </c>
      <c r="H29" s="47" t="s">
        <v>19</v>
      </c>
    </row>
    <row r="30" spans="2:8" x14ac:dyDescent="0.2">
      <c r="C30" s="47" t="s">
        <v>988</v>
      </c>
      <c r="F30" s="47" t="s">
        <v>24</v>
      </c>
      <c r="G30" s="272">
        <f>$G$14*G29*(1-G29/$G$8)+$G$21</f>
        <v>1.5157471264367817</v>
      </c>
      <c r="H30" s="47" t="s">
        <v>19</v>
      </c>
    </row>
    <row r="31" spans="2:8" ht="12.55" x14ac:dyDescent="0.2">
      <c r="C31" s="47" t="s">
        <v>989</v>
      </c>
      <c r="F31" s="47" t="s">
        <v>24</v>
      </c>
      <c r="G31" s="320">
        <f>$G$27/(G30*$G$24)</f>
        <v>51.26613419488185</v>
      </c>
      <c r="H31" s="47" t="s">
        <v>922</v>
      </c>
    </row>
    <row r="33" spans="2:8" x14ac:dyDescent="0.2">
      <c r="C33" s="47" t="s">
        <v>990</v>
      </c>
    </row>
    <row r="34" spans="2:8" x14ac:dyDescent="0.2">
      <c r="C34" s="47" t="s">
        <v>11</v>
      </c>
      <c r="F34" s="47" t="s">
        <v>24</v>
      </c>
      <c r="G34" s="273">
        <v>0.68</v>
      </c>
      <c r="H34" s="47" t="s">
        <v>19</v>
      </c>
    </row>
    <row r="35" spans="2:8" x14ac:dyDescent="0.2">
      <c r="C35" s="47" t="s">
        <v>995</v>
      </c>
      <c r="F35" s="47" t="s">
        <v>24</v>
      </c>
      <c r="G35" s="272">
        <f>$G$14*G34*(1-G34/$G$8)+$G$21</f>
        <v>1.487057471264368</v>
      </c>
      <c r="H35" s="47" t="s">
        <v>19</v>
      </c>
    </row>
    <row r="36" spans="2:8" ht="12.55" x14ac:dyDescent="0.2">
      <c r="C36" s="47" t="s">
        <v>991</v>
      </c>
      <c r="F36" s="47" t="s">
        <v>24</v>
      </c>
      <c r="G36" s="320">
        <f>$G$27/(G35*$G$24)</f>
        <v>52.255206736122162</v>
      </c>
      <c r="H36" s="47" t="s">
        <v>922</v>
      </c>
    </row>
    <row r="38" spans="2:8" x14ac:dyDescent="0.2">
      <c r="C38" s="47" t="s">
        <v>992</v>
      </c>
    </row>
    <row r="39" spans="2:8" x14ac:dyDescent="0.2">
      <c r="C39" s="47" t="s">
        <v>11</v>
      </c>
      <c r="F39" s="47" t="s">
        <v>24</v>
      </c>
      <c r="G39" s="273">
        <v>0.82</v>
      </c>
      <c r="H39" s="47" t="s">
        <v>19</v>
      </c>
    </row>
    <row r="40" spans="2:8" x14ac:dyDescent="0.2">
      <c r="C40" s="47" t="s">
        <v>993</v>
      </c>
      <c r="F40" s="47" t="s">
        <v>24</v>
      </c>
      <c r="G40" s="272">
        <f>$G$14*G39*(1-G39/$G$8)+$G$21</f>
        <v>1.5372643678160922</v>
      </c>
      <c r="H40" s="47" t="s">
        <v>19</v>
      </c>
    </row>
    <row r="41" spans="2:8" ht="12.55" x14ac:dyDescent="0.2">
      <c r="C41" s="47" t="s">
        <v>994</v>
      </c>
      <c r="F41" s="47" t="s">
        <v>24</v>
      </c>
      <c r="G41" s="320">
        <f>$G$27/(G40*$G$24)</f>
        <v>50.548557044750851</v>
      </c>
      <c r="H41" s="47" t="s">
        <v>922</v>
      </c>
    </row>
    <row r="43" spans="2:8" x14ac:dyDescent="0.2">
      <c r="C43" s="47" t="s">
        <v>1005</v>
      </c>
    </row>
    <row r="44" spans="2:8" x14ac:dyDescent="0.2">
      <c r="C44" s="47" t="s">
        <v>11</v>
      </c>
      <c r="F44" s="47" t="s">
        <v>24</v>
      </c>
      <c r="G44" s="273">
        <v>0.86</v>
      </c>
      <c r="H44" s="47" t="s">
        <v>19</v>
      </c>
    </row>
    <row r="45" spans="2:8" x14ac:dyDescent="0.2">
      <c r="C45" s="47" t="s">
        <v>993</v>
      </c>
      <c r="F45" s="47" t="s">
        <v>24</v>
      </c>
      <c r="G45" s="272">
        <f>$G$14*G44*(1-G44/$G$8)+$G$21</f>
        <v>1.540850574712644</v>
      </c>
      <c r="H45" s="47" t="s">
        <v>19</v>
      </c>
    </row>
    <row r="46" spans="2:8" ht="12.55" x14ac:dyDescent="0.2">
      <c r="C46" s="47" t="s">
        <v>1006</v>
      </c>
      <c r="F46" s="47" t="s">
        <v>24</v>
      </c>
      <c r="G46" s="320">
        <f>$G$27/(G45*$G$24)</f>
        <v>50.430909307287131</v>
      </c>
      <c r="H46" s="47" t="s">
        <v>922</v>
      </c>
    </row>
    <row r="48" spans="2:8" x14ac:dyDescent="0.2">
      <c r="B48" s="270" t="s">
        <v>1002</v>
      </c>
    </row>
    <row r="49" spans="2:8" x14ac:dyDescent="0.2">
      <c r="B49" s="270" t="s">
        <v>1045</v>
      </c>
    </row>
    <row r="50" spans="2:8" x14ac:dyDescent="0.2">
      <c r="B50" s="47" t="s">
        <v>432</v>
      </c>
      <c r="F50" s="47" t="s">
        <v>24</v>
      </c>
      <c r="G50" s="321">
        <v>1.1000000000000001</v>
      </c>
    </row>
    <row r="52" spans="2:8" x14ac:dyDescent="0.2">
      <c r="B52" s="47" t="s">
        <v>978</v>
      </c>
      <c r="D52" s="47" t="s">
        <v>1007</v>
      </c>
    </row>
    <row r="53" spans="2:8" x14ac:dyDescent="0.2">
      <c r="C53" s="47" t="s">
        <v>980</v>
      </c>
      <c r="D53" s="47" t="s">
        <v>982</v>
      </c>
    </row>
    <row r="54" spans="2:8" x14ac:dyDescent="0.2">
      <c r="D54" s="47" t="str">
        <f>".84+2 x "&amp;(wearing_coat/1000)</f>
        <v>.84+2 x 0.08</v>
      </c>
      <c r="F54" s="47" t="s">
        <v>24</v>
      </c>
      <c r="G54" s="47">
        <f>0.84+2*wearing_coat/1000</f>
        <v>1</v>
      </c>
      <c r="H54" s="47" t="s">
        <v>19</v>
      </c>
    </row>
    <row r="55" spans="2:8" x14ac:dyDescent="0.2">
      <c r="B55" s="47" t="s">
        <v>983</v>
      </c>
    </row>
    <row r="56" spans="2:8" x14ac:dyDescent="0.2">
      <c r="B56" s="47" t="s">
        <v>984</v>
      </c>
    </row>
    <row r="57" spans="2:8" x14ac:dyDescent="0.2">
      <c r="D57" s="47" t="str">
        <f>"=wheel dim. Along span+2 x ("&amp;(wearing_coat/1000)&amp;"+"&amp;(ds/100)&amp;")"</f>
        <v>=wheel dim. Along span+2 x (0.08+0.25)</v>
      </c>
      <c r="F57" s="47" t="s">
        <v>24</v>
      </c>
      <c r="G57" s="47">
        <f>4.57+2*(wearing_coat/1000+ds/100)</f>
        <v>5.23</v>
      </c>
      <c r="H57" s="47" t="s">
        <v>19</v>
      </c>
    </row>
    <row r="59" spans="2:8" x14ac:dyDescent="0.2">
      <c r="B59" s="47" t="s">
        <v>1008</v>
      </c>
      <c r="F59" s="47" t="s">
        <v>24</v>
      </c>
      <c r="G59" s="273">
        <v>350</v>
      </c>
      <c r="H59" s="47" t="s">
        <v>25</v>
      </c>
    </row>
    <row r="60" spans="2:8" x14ac:dyDescent="0.2">
      <c r="C60" s="47" t="s">
        <v>986</v>
      </c>
      <c r="F60" s="47" t="s">
        <v>24</v>
      </c>
      <c r="G60" s="272">
        <f>$G$50*G59</f>
        <v>385.00000000000006</v>
      </c>
      <c r="H60" s="47" t="s">
        <v>25</v>
      </c>
    </row>
    <row r="61" spans="2:8" x14ac:dyDescent="0.2">
      <c r="C61" s="47" t="s">
        <v>987</v>
      </c>
    </row>
    <row r="62" spans="2:8" x14ac:dyDescent="0.2">
      <c r="C62" s="47" t="s">
        <v>11</v>
      </c>
      <c r="F62" s="47" t="s">
        <v>24</v>
      </c>
      <c r="G62" s="273">
        <v>0.48</v>
      </c>
      <c r="H62" s="47" t="s">
        <v>19</v>
      </c>
    </row>
    <row r="63" spans="2:8" x14ac:dyDescent="0.2">
      <c r="C63" s="47" t="s">
        <v>988</v>
      </c>
      <c r="F63" s="47" t="s">
        <v>24</v>
      </c>
      <c r="G63" s="272">
        <f>$G$14*G62*(1-G62/$G$8)+$G$21</f>
        <v>1.3137241379310345</v>
      </c>
      <c r="H63" s="47" t="s">
        <v>19</v>
      </c>
    </row>
    <row r="64" spans="2:8" ht="12.55" x14ac:dyDescent="0.2">
      <c r="C64" s="47" t="s">
        <v>989</v>
      </c>
      <c r="F64" s="47" t="s">
        <v>24</v>
      </c>
      <c r="G64" s="320">
        <f>$G$60/(G63*$G$57)</f>
        <v>56.034417428254621</v>
      </c>
      <c r="H64" s="47" t="s">
        <v>922</v>
      </c>
    </row>
    <row r="66" spans="2:8" x14ac:dyDescent="0.2">
      <c r="C66" s="47" t="s">
        <v>990</v>
      </c>
    </row>
    <row r="67" spans="2:8" x14ac:dyDescent="0.2">
      <c r="C67" s="47" t="s">
        <v>11</v>
      </c>
      <c r="F67" s="47" t="s">
        <v>24</v>
      </c>
      <c r="G67" s="273">
        <v>0.36</v>
      </c>
      <c r="H67" s="47" t="s">
        <v>19</v>
      </c>
    </row>
    <row r="68" spans="2:8" x14ac:dyDescent="0.2">
      <c r="C68" s="47" t="s">
        <v>995</v>
      </c>
      <c r="F68" s="47" t="s">
        <v>24</v>
      </c>
      <c r="G68" s="272">
        <f>$G$14*G67*(1-G67/$G$8)+$G$21</f>
        <v>1.1523448275862069</v>
      </c>
      <c r="H68" s="47" t="s">
        <v>19</v>
      </c>
    </row>
    <row r="69" spans="2:8" ht="12.55" x14ac:dyDescent="0.2">
      <c r="C69" s="47" t="s">
        <v>991</v>
      </c>
      <c r="F69" s="47" t="s">
        <v>24</v>
      </c>
      <c r="G69" s="320">
        <f>$G$60/(G68*$G$57)</f>
        <v>63.881717493017071</v>
      </c>
      <c r="H69" s="47" t="s">
        <v>922</v>
      </c>
    </row>
    <row r="71" spans="2:8" x14ac:dyDescent="0.2">
      <c r="B71" s="270" t="s">
        <v>999</v>
      </c>
    </row>
    <row r="72" spans="2:8" x14ac:dyDescent="0.2">
      <c r="C72" s="47" t="s">
        <v>996</v>
      </c>
    </row>
    <row r="73" spans="2:8" x14ac:dyDescent="0.2">
      <c r="C73" s="47" t="s">
        <v>11</v>
      </c>
      <c r="F73" s="47" t="s">
        <v>24</v>
      </c>
      <c r="G73" s="273">
        <v>0.84</v>
      </c>
      <c r="H73" s="47" t="s">
        <v>19</v>
      </c>
    </row>
    <row r="74" spans="2:8" x14ac:dyDescent="0.2">
      <c r="C74" s="47" t="s">
        <v>988</v>
      </c>
      <c r="F74" s="47" t="s">
        <v>24</v>
      </c>
      <c r="G74" s="272">
        <f>$G$14*G73*(1-G73/$G$8)+$G$21</f>
        <v>1.5396551724137932</v>
      </c>
      <c r="H74" s="47" t="s">
        <v>19</v>
      </c>
    </row>
    <row r="75" spans="2:8" ht="12.55" x14ac:dyDescent="0.2">
      <c r="C75" s="47" t="s">
        <v>997</v>
      </c>
      <c r="F75" s="47" t="s">
        <v>24</v>
      </c>
      <c r="G75" s="322">
        <f>$G$27/(G74*$G$24)</f>
        <v>50.470064324591782</v>
      </c>
      <c r="H75" s="47" t="s">
        <v>922</v>
      </c>
    </row>
    <row r="77" spans="2:8" x14ac:dyDescent="0.2">
      <c r="B77" s="270" t="s">
        <v>1003</v>
      </c>
    </row>
    <row r="78" spans="2:8" x14ac:dyDescent="0.2">
      <c r="C78" s="47" t="s">
        <v>998</v>
      </c>
    </row>
    <row r="79" spans="2:8" x14ac:dyDescent="0.2">
      <c r="C79" s="47" t="s">
        <v>11</v>
      </c>
      <c r="F79" s="47" t="s">
        <v>24</v>
      </c>
      <c r="G79" s="273">
        <v>0.81</v>
      </c>
      <c r="H79" s="47" t="s">
        <v>19</v>
      </c>
    </row>
    <row r="80" spans="2:8" x14ac:dyDescent="0.2">
      <c r="C80" s="47" t="s">
        <v>988</v>
      </c>
      <c r="F80" s="47" t="s">
        <v>24</v>
      </c>
      <c r="G80" s="272">
        <f>$G$14*G79*(1-G79/$G$8)+$G$21</f>
        <v>1.5356206896551727</v>
      </c>
      <c r="H80" s="47" t="s">
        <v>19</v>
      </c>
    </row>
    <row r="81" spans="2:8" ht="12.55" x14ac:dyDescent="0.2">
      <c r="C81" s="47" t="s">
        <v>989</v>
      </c>
      <c r="F81" s="47" t="s">
        <v>24</v>
      </c>
      <c r="G81" s="320">
        <f>$G$60/(G80*$G$57)</f>
        <v>47.937467387816767</v>
      </c>
      <c r="H81" s="47" t="s">
        <v>922</v>
      </c>
    </row>
    <row r="83" spans="2:8" x14ac:dyDescent="0.2">
      <c r="B83" s="270" t="s">
        <v>1000</v>
      </c>
    </row>
    <row r="84" spans="2:8" x14ac:dyDescent="0.2">
      <c r="C84" s="47" t="s">
        <v>1009</v>
      </c>
    </row>
    <row r="85" spans="2:8" x14ac:dyDescent="0.2">
      <c r="C85" s="47" t="s">
        <v>11</v>
      </c>
      <c r="F85" s="47" t="s">
        <v>24</v>
      </c>
      <c r="G85" s="273">
        <v>0.87</v>
      </c>
      <c r="H85" s="47" t="s">
        <v>19</v>
      </c>
    </row>
    <row r="86" spans="2:8" x14ac:dyDescent="0.2">
      <c r="C86" s="47" t="s">
        <v>988</v>
      </c>
      <c r="F86" s="47" t="s">
        <v>24</v>
      </c>
      <c r="G86" s="272">
        <f>$G$14*G85*(1-G85/$G$8)+$G$21</f>
        <v>1.5409999999999999</v>
      </c>
      <c r="H86" s="47" t="s">
        <v>19</v>
      </c>
    </row>
    <row r="87" spans="2:8" ht="12.55" x14ac:dyDescent="0.2">
      <c r="C87" s="47" t="s">
        <v>997</v>
      </c>
      <c r="F87" s="47" t="s">
        <v>24</v>
      </c>
      <c r="G87" s="322">
        <f>$G$27/(G86*$G$24)</f>
        <v>50.426019201437121</v>
      </c>
      <c r="H87" s="47" t="s">
        <v>922</v>
      </c>
    </row>
    <row r="89" spans="2:8" x14ac:dyDescent="0.2">
      <c r="C89" s="47" t="s">
        <v>1012</v>
      </c>
    </row>
    <row r="90" spans="2:8" x14ac:dyDescent="0.2">
      <c r="C90" s="47" t="s">
        <v>11</v>
      </c>
      <c r="F90" s="47" t="s">
        <v>24</v>
      </c>
      <c r="G90" s="273">
        <v>0.81</v>
      </c>
      <c r="H90" s="47" t="s">
        <v>19</v>
      </c>
    </row>
    <row r="91" spans="2:8" x14ac:dyDescent="0.2">
      <c r="C91" s="47" t="s">
        <v>995</v>
      </c>
      <c r="F91" s="47" t="s">
        <v>24</v>
      </c>
      <c r="G91" s="272">
        <f>$G$14*G90*(1-G90/$G$8)+$G$21</f>
        <v>1.5356206896551727</v>
      </c>
      <c r="H91" s="47" t="s">
        <v>19</v>
      </c>
    </row>
    <row r="92" spans="2:8" ht="12.55" x14ac:dyDescent="0.2">
      <c r="C92" s="47" t="s">
        <v>1013</v>
      </c>
      <c r="F92" s="47" t="s">
        <v>24</v>
      </c>
      <c r="G92" s="322">
        <f>$G$27/(G91*$G$24)</f>
        <v>50.602662566928409</v>
      </c>
      <c r="H92" s="47" t="s">
        <v>922</v>
      </c>
    </row>
    <row r="94" spans="2:8" x14ac:dyDescent="0.2">
      <c r="B94" s="270" t="s">
        <v>1004</v>
      </c>
    </row>
    <row r="95" spans="2:8" x14ac:dyDescent="0.2">
      <c r="C95" s="47" t="s">
        <v>1011</v>
      </c>
    </row>
    <row r="96" spans="2:8" x14ac:dyDescent="0.2">
      <c r="C96" s="47" t="s">
        <v>11</v>
      </c>
      <c r="F96" s="47" t="s">
        <v>24</v>
      </c>
      <c r="G96" s="273">
        <v>0.87</v>
      </c>
      <c r="H96" s="47" t="s">
        <v>19</v>
      </c>
    </row>
    <row r="97" spans="3:8" x14ac:dyDescent="0.2">
      <c r="C97" s="47" t="s">
        <v>988</v>
      </c>
      <c r="F97" s="47" t="s">
        <v>24</v>
      </c>
      <c r="G97" s="272">
        <f>$G$14*G96*(1-G96/$G$8)+$G$21</f>
        <v>1.5409999999999999</v>
      </c>
      <c r="H97" s="47" t="s">
        <v>19</v>
      </c>
    </row>
    <row r="98" spans="3:8" ht="12.55" x14ac:dyDescent="0.2">
      <c r="C98" s="47" t="s">
        <v>989</v>
      </c>
      <c r="F98" s="47" t="s">
        <v>24</v>
      </c>
      <c r="G98" s="320">
        <f>$G$60/(G97*$G$57)</f>
        <v>47.770127664115208</v>
      </c>
      <c r="H98" s="47" t="s">
        <v>922</v>
      </c>
    </row>
    <row r="100" spans="3:8" x14ac:dyDescent="0.2">
      <c r="C100" s="47" t="s">
        <v>1010</v>
      </c>
    </row>
    <row r="101" spans="3:8" x14ac:dyDescent="0.2">
      <c r="C101" s="47" t="s">
        <v>11</v>
      </c>
      <c r="F101" s="47" t="s">
        <v>24</v>
      </c>
      <c r="G101" s="273">
        <v>0.75</v>
      </c>
      <c r="H101" s="47" t="s">
        <v>19</v>
      </c>
    </row>
    <row r="102" spans="3:8" x14ac:dyDescent="0.2">
      <c r="C102" s="47" t="s">
        <v>995</v>
      </c>
      <c r="F102" s="47" t="s">
        <v>24</v>
      </c>
      <c r="G102" s="272">
        <f>$G$14*G101*(1-G101/$G$8)+$G$21</f>
        <v>1.5194827586206898</v>
      </c>
      <c r="H102" s="47" t="s">
        <v>19</v>
      </c>
    </row>
    <row r="103" spans="3:8" ht="12.55" x14ac:dyDescent="0.2">
      <c r="C103" s="47" t="s">
        <v>991</v>
      </c>
      <c r="F103" s="47" t="s">
        <v>24</v>
      </c>
      <c r="G103" s="320">
        <f>$G$60/(G102*$G$57)</f>
        <v>48.446595601535101</v>
      </c>
      <c r="H103" s="47" t="s">
        <v>922</v>
      </c>
    </row>
  </sheetData>
  <pageMargins left="1.1000000000000001" right="0.5" top="1" bottom="1" header="0.5" footer="0.5"/>
  <pageSetup paperSize="9" orientation="portrait" verticalDpi="300" r:id="rId1"/>
  <headerFooter alignWithMargins="0">
    <oddFooter>&amp;C&amp;P /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K185"/>
  <sheetViews>
    <sheetView topLeftCell="A94" zoomScale="110" zoomScaleNormal="110" zoomScaleSheetLayoutView="100" workbookViewId="0">
      <selection activeCell="J95" sqref="J95"/>
    </sheetView>
  </sheetViews>
  <sheetFormatPr defaultColWidth="9.109375" defaultRowHeight="15.65" x14ac:dyDescent="0.3"/>
  <cols>
    <col min="1" max="1" width="9.109375" style="1"/>
    <col min="2" max="2" width="37.44140625" style="1" customWidth="1"/>
    <col min="3" max="3" width="9.109375" style="1"/>
    <col min="4" max="4" width="27.109375" style="2" bestFit="1" customWidth="1"/>
    <col min="5" max="5" width="11" style="1" bestFit="1" customWidth="1"/>
    <col min="6" max="6" width="9.109375" style="1"/>
    <col min="7" max="7" width="10.109375" style="1" customWidth="1"/>
    <col min="8" max="16384" width="9.109375" style="1"/>
  </cols>
  <sheetData>
    <row r="1" spans="1:10" x14ac:dyDescent="0.3">
      <c r="B1" s="5" t="s">
        <v>327</v>
      </c>
      <c r="C1" s="1" t="s">
        <v>435</v>
      </c>
    </row>
    <row r="2" spans="1:10" x14ac:dyDescent="0.3">
      <c r="B2" s="5" t="s">
        <v>326</v>
      </c>
    </row>
    <row r="3" spans="1:10" ht="30.7" x14ac:dyDescent="0.35">
      <c r="B3" s="7" t="s">
        <v>325</v>
      </c>
      <c r="C3" s="5" t="str">
        <f>"M"&amp;"-"&amp;E3</f>
        <v>M-50</v>
      </c>
      <c r="D3" s="2" t="s">
        <v>324</v>
      </c>
      <c r="E3" s="4">
        <f>'Girder Property'!I22</f>
        <v>50</v>
      </c>
      <c r="F3" s="1" t="s">
        <v>165</v>
      </c>
    </row>
    <row r="4" spans="1:10" x14ac:dyDescent="0.3">
      <c r="B4" s="7" t="s">
        <v>323</v>
      </c>
      <c r="C4" s="5"/>
      <c r="D4" s="2" t="s">
        <v>322</v>
      </c>
      <c r="E4" s="4">
        <f>'Girder Property'!I47</f>
        <v>200000</v>
      </c>
      <c r="F4" s="1" t="s">
        <v>165</v>
      </c>
    </row>
    <row r="5" spans="1:10" x14ac:dyDescent="0.3">
      <c r="B5" s="7" t="s">
        <v>321</v>
      </c>
      <c r="C5" s="5"/>
      <c r="D5" s="2" t="s">
        <v>320</v>
      </c>
      <c r="E5" s="4">
        <f>5700*(E3)^0.5</f>
        <v>40305.086527633212</v>
      </c>
      <c r="F5" s="1" t="s">
        <v>165</v>
      </c>
    </row>
    <row r="6" spans="1:10" x14ac:dyDescent="0.3">
      <c r="A6" s="1" t="s">
        <v>319</v>
      </c>
      <c r="B6" s="5" t="s">
        <v>65</v>
      </c>
      <c r="I6" s="1" t="s">
        <v>318</v>
      </c>
    </row>
    <row r="7" spans="1:10" x14ac:dyDescent="0.3">
      <c r="B7" s="1" t="s">
        <v>317</v>
      </c>
      <c r="C7" s="18" t="s">
        <v>316</v>
      </c>
      <c r="D7" s="2" t="s">
        <v>24</v>
      </c>
      <c r="E7" s="4">
        <v>8</v>
      </c>
      <c r="F7" s="1" t="s">
        <v>42</v>
      </c>
    </row>
    <row r="8" spans="1:10" x14ac:dyDescent="0.3">
      <c r="B8" s="1" t="s">
        <v>315</v>
      </c>
      <c r="C8" s="1" t="s">
        <v>314</v>
      </c>
      <c r="D8" s="2" t="s">
        <v>24</v>
      </c>
      <c r="E8" s="4">
        <v>12</v>
      </c>
    </row>
    <row r="9" spans="1:10" x14ac:dyDescent="0.3">
      <c r="B9" s="17" t="str">
        <f>"Ultimate stress of "&amp;  E7&amp; F7&amp;" wires"</f>
        <v>Ultimate stress of 8mm wires</v>
      </c>
      <c r="C9" s="1" t="s">
        <v>313</v>
      </c>
      <c r="D9" s="2" t="s">
        <v>24</v>
      </c>
      <c r="E9" s="4">
        <v>1500</v>
      </c>
      <c r="F9" s="1" t="s">
        <v>165</v>
      </c>
    </row>
    <row r="10" spans="1:10" ht="30.05" x14ac:dyDescent="0.3">
      <c r="B10" s="7" t="s">
        <v>312</v>
      </c>
      <c r="C10" s="1" t="s">
        <v>68</v>
      </c>
      <c r="D10" s="2" t="s">
        <v>24</v>
      </c>
      <c r="E10" s="4">
        <v>60</v>
      </c>
      <c r="F10" s="1" t="s">
        <v>68</v>
      </c>
    </row>
    <row r="11" spans="1:10" ht="40.549999999999997" customHeight="1" x14ac:dyDescent="0.3">
      <c r="B11" s="7" t="s">
        <v>311</v>
      </c>
      <c r="D11" s="2" t="s">
        <v>310</v>
      </c>
      <c r="E11" s="1">
        <f>+E9*E10/100</f>
        <v>900</v>
      </c>
      <c r="F11" s="1" t="s">
        <v>165</v>
      </c>
    </row>
    <row r="12" spans="1:10" ht="40.549999999999997" customHeight="1" x14ac:dyDescent="0.3">
      <c r="B12" s="16" t="s">
        <v>309</v>
      </c>
      <c r="D12" s="2" t="s">
        <v>24</v>
      </c>
      <c r="E12" s="15" t="str">
        <f>+E8&amp;"-"&amp;E7&amp;C7</f>
        <v>12-8f</v>
      </c>
      <c r="I12" s="1">
        <v>2500</v>
      </c>
      <c r="J12" s="1">
        <f>+I12*0.6</f>
        <v>1500</v>
      </c>
    </row>
    <row r="13" spans="1:10" x14ac:dyDescent="0.3">
      <c r="B13" s="1" t="s">
        <v>308</v>
      </c>
      <c r="C13" s="15" t="str">
        <f>+E12</f>
        <v>12-8f</v>
      </c>
      <c r="D13" s="2" t="s">
        <v>307</v>
      </c>
      <c r="E13" s="1">
        <f>+E8*PI()*(E7^2/4)*E11/1000</f>
        <v>542.86721054031625</v>
      </c>
      <c r="F13" s="1" t="s">
        <v>25</v>
      </c>
    </row>
    <row r="14" spans="1:10" x14ac:dyDescent="0.3">
      <c r="B14" s="1" t="s">
        <v>306</v>
      </c>
      <c r="C14" s="14" t="s">
        <v>276</v>
      </c>
      <c r="D14" s="2" t="s">
        <v>24</v>
      </c>
      <c r="E14" s="4" t="e">
        <f>'Girder Property'!#REF!+'Girder Property'!I313</f>
        <v>#REF!</v>
      </c>
    </row>
    <row r="15" spans="1:10" x14ac:dyDescent="0.3">
      <c r="A15" s="1" t="s">
        <v>305</v>
      </c>
      <c r="B15" s="5" t="s">
        <v>304</v>
      </c>
    </row>
    <row r="16" spans="1:10" x14ac:dyDescent="0.3">
      <c r="A16" s="1" t="s">
        <v>303</v>
      </c>
      <c r="B16" s="5" t="s">
        <v>302</v>
      </c>
    </row>
    <row r="17" spans="1:8" ht="16.899999999999999" x14ac:dyDescent="0.35">
      <c r="B17" s="1" t="s">
        <v>298</v>
      </c>
      <c r="C17" s="2"/>
      <c r="D17" s="2" t="s">
        <v>301</v>
      </c>
      <c r="E17" s="1">
        <f>0.6*E3</f>
        <v>30</v>
      </c>
      <c r="F17" s="1" t="s">
        <v>165</v>
      </c>
      <c r="G17" s="13" t="str">
        <f>+B16</f>
        <v>At 4 days for first stage prestressing</v>
      </c>
    </row>
    <row r="18" spans="1:8" ht="16.899999999999999" x14ac:dyDescent="0.35">
      <c r="B18" s="1" t="s">
        <v>292</v>
      </c>
      <c r="D18" s="2" t="s">
        <v>296</v>
      </c>
      <c r="E18" s="1">
        <f>0.5*E17</f>
        <v>15</v>
      </c>
      <c r="F18" s="1" t="s">
        <v>165</v>
      </c>
    </row>
    <row r="19" spans="1:8" ht="16.899999999999999" x14ac:dyDescent="0.35">
      <c r="B19" s="1" t="s">
        <v>290</v>
      </c>
      <c r="D19" s="2" t="s">
        <v>295</v>
      </c>
      <c r="E19" s="1">
        <f>0.05*E17</f>
        <v>1.5</v>
      </c>
      <c r="F19" s="1" t="s">
        <v>165</v>
      </c>
    </row>
    <row r="20" spans="1:8" x14ac:dyDescent="0.3">
      <c r="A20" s="1" t="s">
        <v>300</v>
      </c>
      <c r="B20" s="5" t="s">
        <v>299</v>
      </c>
    </row>
    <row r="21" spans="1:8" ht="16.899999999999999" x14ac:dyDescent="0.35">
      <c r="B21" s="1" t="s">
        <v>298</v>
      </c>
      <c r="C21" s="2"/>
      <c r="D21" s="2" t="s">
        <v>297</v>
      </c>
      <c r="E21" s="1">
        <f>0.9*E3</f>
        <v>45</v>
      </c>
      <c r="F21" s="1" t="s">
        <v>165</v>
      </c>
      <c r="G21" s="13" t="str">
        <f>+B20</f>
        <v>At 21 days for second stage prestressing</v>
      </c>
    </row>
    <row r="22" spans="1:8" ht="16.899999999999999" x14ac:dyDescent="0.35">
      <c r="B22" s="1" t="s">
        <v>292</v>
      </c>
      <c r="D22" s="2" t="s">
        <v>296</v>
      </c>
      <c r="E22" s="1">
        <f>0.5*E21</f>
        <v>22.5</v>
      </c>
      <c r="F22" s="1" t="s">
        <v>165</v>
      </c>
    </row>
    <row r="23" spans="1:8" ht="16.899999999999999" x14ac:dyDescent="0.35">
      <c r="B23" s="1" t="s">
        <v>290</v>
      </c>
      <c r="D23" s="2" t="s">
        <v>295</v>
      </c>
      <c r="E23" s="1">
        <f>0.05*E21</f>
        <v>2.25</v>
      </c>
      <c r="F23" s="1" t="s">
        <v>165</v>
      </c>
    </row>
    <row r="24" spans="1:8" x14ac:dyDescent="0.3">
      <c r="A24" s="1" t="s">
        <v>294</v>
      </c>
      <c r="B24" s="5" t="s">
        <v>293</v>
      </c>
    </row>
    <row r="25" spans="1:8" ht="16.899999999999999" x14ac:dyDescent="0.35">
      <c r="B25" s="1" t="s">
        <v>292</v>
      </c>
      <c r="D25" s="2" t="s">
        <v>291</v>
      </c>
      <c r="E25" s="1">
        <f>0.33*E3</f>
        <v>16.5</v>
      </c>
      <c r="F25" s="1" t="s">
        <v>165</v>
      </c>
    </row>
    <row r="26" spans="1:8" x14ac:dyDescent="0.3">
      <c r="B26" s="1" t="s">
        <v>290</v>
      </c>
      <c r="D26" s="2" t="s">
        <v>289</v>
      </c>
      <c r="E26" s="1">
        <v>0</v>
      </c>
      <c r="F26" s="1" t="s">
        <v>165</v>
      </c>
    </row>
    <row r="27" spans="1:8" x14ac:dyDescent="0.3">
      <c r="A27" s="1" t="s">
        <v>288</v>
      </c>
      <c r="B27" s="5" t="s">
        <v>287</v>
      </c>
    </row>
    <row r="28" spans="1:8" x14ac:dyDescent="0.3">
      <c r="B28" s="1" t="s">
        <v>286</v>
      </c>
    </row>
    <row r="29" spans="1:8" x14ac:dyDescent="0.3">
      <c r="A29" s="1" t="s">
        <v>285</v>
      </c>
      <c r="B29" s="5" t="s">
        <v>284</v>
      </c>
    </row>
    <row r="30" spans="1:8" x14ac:dyDescent="0.3">
      <c r="B30" s="7" t="s">
        <v>402</v>
      </c>
      <c r="D30" s="2" t="s">
        <v>35</v>
      </c>
      <c r="E30" s="12">
        <f>'Girder Property'!I421</f>
        <v>3</v>
      </c>
    </row>
    <row r="31" spans="1:8" x14ac:dyDescent="0.3">
      <c r="B31" s="6" t="s">
        <v>283</v>
      </c>
      <c r="C31" s="2" t="s">
        <v>282</v>
      </c>
      <c r="D31" s="2" t="s">
        <v>24</v>
      </c>
      <c r="E31" s="12">
        <f>+'Girder Property'!B107*10</f>
        <v>1800</v>
      </c>
      <c r="F31" s="1" t="s">
        <v>42</v>
      </c>
      <c r="G31" s="5"/>
      <c r="H31" s="10"/>
    </row>
    <row r="32" spans="1:8" ht="16.3" x14ac:dyDescent="0.35">
      <c r="B32" s="1" t="s">
        <v>231</v>
      </c>
      <c r="C32" s="1" t="s">
        <v>230</v>
      </c>
      <c r="D32" s="2" t="s">
        <v>24</v>
      </c>
      <c r="E32" s="12">
        <f>+'Girder Property'!I415*10</f>
        <v>883.63610050776504</v>
      </c>
      <c r="F32" s="1" t="s">
        <v>42</v>
      </c>
      <c r="G32" s="5"/>
      <c r="H32" s="10"/>
    </row>
    <row r="33" spans="2:8" x14ac:dyDescent="0.3">
      <c r="B33" s="6" t="s">
        <v>281</v>
      </c>
      <c r="C33" s="1" t="s">
        <v>280</v>
      </c>
      <c r="D33" s="2" t="s">
        <v>24</v>
      </c>
      <c r="E33" s="12">
        <f>+'Girder Property'!I309*10</f>
        <v>400</v>
      </c>
      <c r="F33" s="1" t="s">
        <v>42</v>
      </c>
    </row>
    <row r="34" spans="2:8" ht="16.3" x14ac:dyDescent="0.35">
      <c r="B34" s="6" t="s">
        <v>229</v>
      </c>
      <c r="D34" s="1" t="s">
        <v>279</v>
      </c>
      <c r="E34" s="12">
        <f>+E32-E33</f>
        <v>483.63610050776504</v>
      </c>
      <c r="F34" s="1" t="s">
        <v>42</v>
      </c>
    </row>
    <row r="35" spans="2:8" x14ac:dyDescent="0.3">
      <c r="B35" s="6" t="s">
        <v>278</v>
      </c>
      <c r="C35" s="1" t="s">
        <v>277</v>
      </c>
      <c r="D35" s="2" t="s">
        <v>24</v>
      </c>
      <c r="E35" s="12">
        <f>+'Girder Property'!I422*10</f>
        <v>11718000</v>
      </c>
      <c r="F35" s="1" t="s">
        <v>276</v>
      </c>
    </row>
    <row r="36" spans="2:8" x14ac:dyDescent="0.3">
      <c r="B36" s="1" t="s">
        <v>392</v>
      </c>
      <c r="C36" s="1" t="s">
        <v>2</v>
      </c>
      <c r="D36" s="2" t="s">
        <v>24</v>
      </c>
      <c r="E36" s="12">
        <f>+'Girder Property'!E413*100</f>
        <v>734022.95574562938</v>
      </c>
      <c r="F36" s="1" t="s">
        <v>275</v>
      </c>
    </row>
    <row r="37" spans="2:8" x14ac:dyDescent="0.3">
      <c r="B37" s="1" t="s">
        <v>274</v>
      </c>
      <c r="C37" s="1" t="s">
        <v>273</v>
      </c>
      <c r="D37" s="2" t="s">
        <v>24</v>
      </c>
      <c r="E37" s="12">
        <f>+'Girder Property'!I417*1000</f>
        <v>301040024.70787275</v>
      </c>
      <c r="F37" s="1" t="s">
        <v>272</v>
      </c>
    </row>
    <row r="38" spans="2:8" x14ac:dyDescent="0.3">
      <c r="B38" s="1" t="s">
        <v>271</v>
      </c>
      <c r="C38" s="1" t="s">
        <v>270</v>
      </c>
      <c r="D38" s="2" t="s">
        <v>24</v>
      </c>
      <c r="E38" s="12">
        <f>+'Girder Property'!I418*1000</f>
        <v>290288425.45742387</v>
      </c>
      <c r="F38" s="1" t="s">
        <v>269</v>
      </c>
    </row>
    <row r="39" spans="2:8" ht="16.3" x14ac:dyDescent="0.35">
      <c r="B39" s="1" t="s">
        <v>267</v>
      </c>
      <c r="C39" s="1" t="s">
        <v>268</v>
      </c>
      <c r="D39" s="2" t="s">
        <v>24</v>
      </c>
      <c r="E39" s="22" t="e">
        <f>+'Girder Property'!#REF!/10</f>
        <v>#REF!</v>
      </c>
      <c r="F39" s="1" t="s">
        <v>165</v>
      </c>
    </row>
    <row r="40" spans="2:8" ht="16.3" x14ac:dyDescent="0.35">
      <c r="B40" s="1" t="s">
        <v>267</v>
      </c>
      <c r="C40" s="1" t="s">
        <v>266</v>
      </c>
      <c r="D40" s="2" t="s">
        <v>24</v>
      </c>
      <c r="E40" s="22" t="e">
        <f>+'Girder Property'!#REF!/10</f>
        <v>#REF!</v>
      </c>
      <c r="F40" s="1" t="s">
        <v>165</v>
      </c>
    </row>
    <row r="41" spans="2:8" x14ac:dyDescent="0.3">
      <c r="B41" s="6" t="s">
        <v>265</v>
      </c>
    </row>
    <row r="42" spans="2:8" ht="16.899999999999999" x14ac:dyDescent="0.35">
      <c r="B42" s="6" t="s">
        <v>264</v>
      </c>
      <c r="D42" s="2" t="s">
        <v>263</v>
      </c>
      <c r="E42" s="1" t="e">
        <f>+$E$35/$E$36+$E$35*$E$34/E37-E39</f>
        <v>#REF!</v>
      </c>
      <c r="F42" s="1" t="s">
        <v>165</v>
      </c>
      <c r="G42" s="5" t="e">
        <f>E42*100/10</f>
        <v>#REF!</v>
      </c>
      <c r="H42" s="5" t="s">
        <v>164</v>
      </c>
    </row>
    <row r="43" spans="2:8" ht="16.899999999999999" x14ac:dyDescent="0.35">
      <c r="B43" s="1" t="s">
        <v>262</v>
      </c>
      <c r="D43" s="2" t="s">
        <v>261</v>
      </c>
      <c r="E43" s="1" t="e">
        <f>+$E$35/$E$36-$E$35*$E$34/E38+E40</f>
        <v>#REF!</v>
      </c>
      <c r="F43" s="1" t="s">
        <v>165</v>
      </c>
      <c r="G43" s="5" t="e">
        <f>E43*100/10</f>
        <v>#REF!</v>
      </c>
      <c r="H43" s="5" t="s">
        <v>164</v>
      </c>
    </row>
    <row r="44" spans="2:8" x14ac:dyDescent="0.3">
      <c r="B44" s="1" t="s">
        <v>260</v>
      </c>
      <c r="D44" s="2" t="s">
        <v>194</v>
      </c>
      <c r="E44" s="1">
        <f>+$E$35/$E$36+$E$35*$E$34/E37</f>
        <v>34.789640967467378</v>
      </c>
      <c r="F44" s="1" t="s">
        <v>165</v>
      </c>
      <c r="G44" s="5">
        <f>E44*100/10</f>
        <v>347.89640967467375</v>
      </c>
      <c r="H44" s="5" t="s">
        <v>164</v>
      </c>
    </row>
    <row r="45" spans="2:8" x14ac:dyDescent="0.3">
      <c r="B45" s="1" t="s">
        <v>259</v>
      </c>
      <c r="D45" s="2" t="s">
        <v>192</v>
      </c>
      <c r="E45" s="1">
        <f>+$E$35/$E$36-$E$35*$E$34/E38</f>
        <v>-3.558738680737914</v>
      </c>
      <c r="F45" s="1" t="s">
        <v>165</v>
      </c>
      <c r="G45" s="5">
        <f>E45*100/10</f>
        <v>-35.58738680737914</v>
      </c>
      <c r="H45" s="5" t="s">
        <v>164</v>
      </c>
    </row>
    <row r="46" spans="2:8" x14ac:dyDescent="0.3">
      <c r="B46" s="1" t="s">
        <v>258</v>
      </c>
      <c r="D46" s="2" t="s">
        <v>257</v>
      </c>
      <c r="E46" s="1">
        <f>+E31*ABS(E45)/(E44+ABS(E45))</f>
        <v>167.04042476089424</v>
      </c>
      <c r="F46" s="1" t="s">
        <v>42</v>
      </c>
    </row>
    <row r="47" spans="2:8" x14ac:dyDescent="0.3">
      <c r="B47" s="1" t="s">
        <v>256</v>
      </c>
      <c r="D47" s="2" t="s">
        <v>255</v>
      </c>
      <c r="E47" s="1">
        <f>+E31-E46</f>
        <v>1632.9595752391058</v>
      </c>
      <c r="F47" s="1" t="s">
        <v>42</v>
      </c>
    </row>
    <row r="48" spans="2:8" x14ac:dyDescent="0.3">
      <c r="B48" s="1" t="s">
        <v>254</v>
      </c>
      <c r="D48" s="2" t="s">
        <v>253</v>
      </c>
      <c r="E48" s="1">
        <f>+E47-E33</f>
        <v>1232.9595752391058</v>
      </c>
      <c r="F48" s="1" t="s">
        <v>42</v>
      </c>
    </row>
    <row r="49" spans="1:10" ht="16.899999999999999" x14ac:dyDescent="0.35">
      <c r="B49" s="1" t="s">
        <v>223</v>
      </c>
      <c r="D49" s="2" t="s">
        <v>181</v>
      </c>
      <c r="E49" s="1">
        <f>+(E44/E47)*E48</f>
        <v>26.267778823421754</v>
      </c>
      <c r="F49" s="1" t="s">
        <v>165</v>
      </c>
      <c r="G49" s="5">
        <f>E49*100/10</f>
        <v>262.67778823421753</v>
      </c>
      <c r="H49" s="5" t="s">
        <v>164</v>
      </c>
    </row>
    <row r="50" spans="1:10" ht="16.899999999999999" x14ac:dyDescent="0.35">
      <c r="B50" s="1" t="s">
        <v>252</v>
      </c>
      <c r="D50" s="2" t="s">
        <v>177</v>
      </c>
      <c r="E50" s="1">
        <f>0.5*(E49+E35/E36)</f>
        <v>21.115928602908049</v>
      </c>
      <c r="F50" s="1" t="s">
        <v>165</v>
      </c>
      <c r="G50" s="5">
        <f>E50*100/10</f>
        <v>211.15928602908048</v>
      </c>
      <c r="H50" s="5" t="s">
        <v>164</v>
      </c>
    </row>
    <row r="51" spans="1:10" ht="16.899999999999999" x14ac:dyDescent="0.35">
      <c r="B51" s="1" t="s">
        <v>212</v>
      </c>
      <c r="C51" s="2" t="s">
        <v>211</v>
      </c>
      <c r="D51" s="2" t="s">
        <v>24</v>
      </c>
      <c r="E51" s="4">
        <f>0.00072</f>
        <v>7.2000000000000005E-4</v>
      </c>
      <c r="F51" s="1" t="s">
        <v>210</v>
      </c>
      <c r="G51" s="5" t="s">
        <v>209</v>
      </c>
      <c r="H51" s="10" t="s">
        <v>251</v>
      </c>
    </row>
    <row r="52" spans="1:10" x14ac:dyDescent="0.3">
      <c r="B52" s="5" t="s">
        <v>250</v>
      </c>
      <c r="D52" s="2" t="s">
        <v>24</v>
      </c>
      <c r="E52" s="5">
        <f>+(E51/10*E50*E4/E11)*100</f>
        <v>33.785485764652876</v>
      </c>
      <c r="F52" s="5" t="s">
        <v>68</v>
      </c>
    </row>
    <row r="53" spans="1:10" x14ac:dyDescent="0.3">
      <c r="A53" s="1" t="s">
        <v>215</v>
      </c>
      <c r="B53" s="5" t="s">
        <v>249</v>
      </c>
    </row>
    <row r="54" spans="1:10" ht="30.7" x14ac:dyDescent="0.35">
      <c r="B54" s="7" t="s">
        <v>439</v>
      </c>
      <c r="C54" s="2" t="s">
        <v>216</v>
      </c>
      <c r="D54" s="2" t="s">
        <v>24</v>
      </c>
      <c r="E54" s="4">
        <f>0.00041</f>
        <v>4.0999999999999999E-4</v>
      </c>
      <c r="F54" s="1" t="s">
        <v>210</v>
      </c>
    </row>
    <row r="55" spans="1:10" x14ac:dyDescent="0.3">
      <c r="B55" s="7" t="s">
        <v>248</v>
      </c>
      <c r="C55" s="2"/>
      <c r="D55" s="2" t="s">
        <v>24</v>
      </c>
      <c r="E55" s="12">
        <f>+E54*E4</f>
        <v>82</v>
      </c>
      <c r="F55" s="1" t="s">
        <v>165</v>
      </c>
    </row>
    <row r="56" spans="1:10" x14ac:dyDescent="0.3">
      <c r="B56" s="5" t="s">
        <v>247</v>
      </c>
      <c r="D56" s="2" t="s">
        <v>24</v>
      </c>
      <c r="E56" s="5">
        <f>+E55/E11*100</f>
        <v>9.1111111111111107</v>
      </c>
      <c r="F56" s="5" t="s">
        <v>68</v>
      </c>
    </row>
    <row r="57" spans="1:10" x14ac:dyDescent="0.3">
      <c r="A57" s="1" t="s">
        <v>213</v>
      </c>
      <c r="B57" s="5" t="s">
        <v>246</v>
      </c>
    </row>
    <row r="58" spans="1:10" x14ac:dyDescent="0.3">
      <c r="B58" s="5" t="s">
        <v>245</v>
      </c>
      <c r="D58" s="2" t="s">
        <v>24</v>
      </c>
      <c r="E58" s="4">
        <v>2.5</v>
      </c>
      <c r="F58" s="1" t="s">
        <v>68</v>
      </c>
      <c r="G58" s="1" t="s">
        <v>244</v>
      </c>
      <c r="J58" s="1" t="s">
        <v>243</v>
      </c>
    </row>
    <row r="59" spans="1:10" x14ac:dyDescent="0.3">
      <c r="B59" s="5" t="s">
        <v>242</v>
      </c>
      <c r="D59" s="2" t="s">
        <v>24</v>
      </c>
      <c r="E59" s="4">
        <v>1</v>
      </c>
    </row>
    <row r="60" spans="1:10" x14ac:dyDescent="0.3">
      <c r="B60" s="5" t="s">
        <v>218</v>
      </c>
      <c r="D60" s="2" t="s">
        <v>24</v>
      </c>
      <c r="E60" s="5">
        <f>+E58*E59</f>
        <v>2.5</v>
      </c>
      <c r="F60" s="5" t="s">
        <v>68</v>
      </c>
    </row>
    <row r="62" spans="1:10" x14ac:dyDescent="0.3">
      <c r="B62" s="5" t="s">
        <v>241</v>
      </c>
      <c r="D62" s="2" t="s">
        <v>24</v>
      </c>
      <c r="E62" s="5">
        <f>+E52+E56+E60</f>
        <v>45.39659687576399</v>
      </c>
      <c r="F62" s="5" t="s">
        <v>68</v>
      </c>
    </row>
    <row r="63" spans="1:10" ht="30.05" x14ac:dyDescent="0.3">
      <c r="B63" s="11" t="s">
        <v>240</v>
      </c>
      <c r="D63" s="2" t="s">
        <v>24</v>
      </c>
      <c r="E63" s="1">
        <f>+E13*(100-E62)/100</f>
        <v>296.42397140062394</v>
      </c>
      <c r="F63" s="1" t="s">
        <v>25</v>
      </c>
    </row>
    <row r="64" spans="1:10" x14ac:dyDescent="0.3">
      <c r="B64" s="5" t="s">
        <v>52</v>
      </c>
    </row>
    <row r="65" spans="1:8" x14ac:dyDescent="0.3">
      <c r="B65" s="5" t="s">
        <v>239</v>
      </c>
      <c r="D65" s="2" t="s">
        <v>24</v>
      </c>
      <c r="E65" s="5">
        <f>(100-E62)/100*(E44)</f>
        <v>18.996327902940571</v>
      </c>
      <c r="F65" s="5" t="s">
        <v>165</v>
      </c>
      <c r="G65" s="5">
        <f>E65*100/10</f>
        <v>189.9632790294057</v>
      </c>
      <c r="H65" s="5" t="s">
        <v>164</v>
      </c>
    </row>
    <row r="66" spans="1:8" x14ac:dyDescent="0.3">
      <c r="B66" s="5" t="s">
        <v>238</v>
      </c>
      <c r="D66" s="2" t="s">
        <v>24</v>
      </c>
      <c r="E66" s="5">
        <f>(100-E62)/100*E45</f>
        <v>-1.9431924279814414</v>
      </c>
      <c r="F66" s="5" t="s">
        <v>165</v>
      </c>
      <c r="G66" s="5">
        <f>E66*100/10</f>
        <v>-19.431924279814414</v>
      </c>
      <c r="H66" s="5" t="s">
        <v>164</v>
      </c>
    </row>
    <row r="67" spans="1:8" x14ac:dyDescent="0.3">
      <c r="B67" s="5" t="s">
        <v>237</v>
      </c>
      <c r="D67" s="2" t="s">
        <v>24</v>
      </c>
      <c r="E67" s="5">
        <f>(100-E62)/100*E49</f>
        <v>14.343101162735678</v>
      </c>
      <c r="F67" s="5" t="s">
        <v>165</v>
      </c>
      <c r="G67" s="5">
        <f>E67*100/10</f>
        <v>143.43101162735678</v>
      </c>
      <c r="H67" s="5" t="s">
        <v>164</v>
      </c>
    </row>
    <row r="68" spans="1:8" x14ac:dyDescent="0.3">
      <c r="B68" s="5" t="s">
        <v>236</v>
      </c>
      <c r="D68" s="2" t="s">
        <v>24</v>
      </c>
      <c r="E68" s="5">
        <f>(100-E62)/100*$E$35/$E$36</f>
        <v>8.7169300742077969</v>
      </c>
      <c r="F68" s="5" t="s">
        <v>165</v>
      </c>
      <c r="G68" s="5">
        <f>E68*100/10</f>
        <v>87.169300742077979</v>
      </c>
      <c r="H68" s="5" t="s">
        <v>164</v>
      </c>
    </row>
    <row r="69" spans="1:8" x14ac:dyDescent="0.3">
      <c r="A69" s="1" t="s">
        <v>235</v>
      </c>
      <c r="B69" s="5" t="s">
        <v>234</v>
      </c>
    </row>
    <row r="70" spans="1:8" x14ac:dyDescent="0.3">
      <c r="B70" s="1" t="s">
        <v>233</v>
      </c>
    </row>
    <row r="71" spans="1:8" x14ac:dyDescent="0.3">
      <c r="B71" s="6" t="s">
        <v>232</v>
      </c>
      <c r="D71" s="2" t="s">
        <v>24</v>
      </c>
      <c r="E71" s="4">
        <f>E13</f>
        <v>542.86721054031625</v>
      </c>
      <c r="F71" s="1" t="s">
        <v>25</v>
      </c>
    </row>
    <row r="72" spans="1:8" x14ac:dyDescent="0.3">
      <c r="B72" s="6" t="s">
        <v>336</v>
      </c>
      <c r="D72" s="2" t="s">
        <v>24</v>
      </c>
      <c r="E72" s="4" t="e">
        <f>'Girder Property'!#REF!*10</f>
        <v>#REF!</v>
      </c>
      <c r="F72" s="1" t="s">
        <v>42</v>
      </c>
    </row>
    <row r="73" spans="1:8" ht="16.3" x14ac:dyDescent="0.35">
      <c r="B73" s="1" t="s">
        <v>337</v>
      </c>
      <c r="C73" s="1" t="s">
        <v>230</v>
      </c>
      <c r="D73" s="2" t="s">
        <v>24</v>
      </c>
      <c r="E73" s="4">
        <f>+E32</f>
        <v>883.63610050776504</v>
      </c>
      <c r="F73" s="1" t="s">
        <v>42</v>
      </c>
    </row>
    <row r="74" spans="1:8" x14ac:dyDescent="0.3">
      <c r="B74" s="6" t="s">
        <v>229</v>
      </c>
      <c r="C74" s="1" t="s">
        <v>228</v>
      </c>
      <c r="D74" s="2" t="s">
        <v>227</v>
      </c>
      <c r="E74" s="1" t="e">
        <f>+E73-E72</f>
        <v>#REF!</v>
      </c>
      <c r="F74" s="1" t="s">
        <v>42</v>
      </c>
    </row>
    <row r="75" spans="1:8" x14ac:dyDescent="0.3">
      <c r="B75" s="6" t="s">
        <v>226</v>
      </c>
      <c r="D75" s="2" t="s">
        <v>24</v>
      </c>
      <c r="E75" s="4" t="e">
        <f>(E14-E30)/E30</f>
        <v>#REF!</v>
      </c>
      <c r="G75" s="1" t="s">
        <v>225</v>
      </c>
    </row>
    <row r="76" spans="1:8" ht="30.05" x14ac:dyDescent="0.3">
      <c r="B76" s="7" t="s">
        <v>224</v>
      </c>
      <c r="D76" s="2" t="s">
        <v>24</v>
      </c>
      <c r="E76" s="1" t="e">
        <f>+E75*E74/E34</f>
        <v>#REF!</v>
      </c>
    </row>
    <row r="77" spans="1:8" x14ac:dyDescent="0.3">
      <c r="A77" s="1" t="s">
        <v>49</v>
      </c>
      <c r="B77" s="1" t="s">
        <v>169</v>
      </c>
      <c r="C77" s="6"/>
      <c r="D77" s="2" t="s">
        <v>24</v>
      </c>
      <c r="E77" s="1" t="e">
        <f>+E76*E44</f>
        <v>#REF!</v>
      </c>
      <c r="F77" s="6" t="s">
        <v>165</v>
      </c>
      <c r="G77" s="5" t="e">
        <f>E77*100/10</f>
        <v>#REF!</v>
      </c>
      <c r="H77" s="5" t="s">
        <v>164</v>
      </c>
    </row>
    <row r="78" spans="1:8" x14ac:dyDescent="0.3">
      <c r="A78" s="1" t="s">
        <v>120</v>
      </c>
      <c r="B78" s="1" t="s">
        <v>167</v>
      </c>
      <c r="C78" s="6"/>
      <c r="D78" s="2" t="s">
        <v>24</v>
      </c>
      <c r="E78" s="1" t="e">
        <f>+E76*E45</f>
        <v>#REF!</v>
      </c>
      <c r="F78" s="6" t="s">
        <v>165</v>
      </c>
      <c r="G78" s="5" t="e">
        <f>E78*100/10</f>
        <v>#REF!</v>
      </c>
      <c r="H78" s="5" t="s">
        <v>164</v>
      </c>
    </row>
    <row r="79" spans="1:8" x14ac:dyDescent="0.3">
      <c r="A79" s="1" t="s">
        <v>121</v>
      </c>
      <c r="B79" s="1" t="s">
        <v>223</v>
      </c>
      <c r="D79" s="2" t="s">
        <v>24</v>
      </c>
      <c r="E79" s="6" t="e">
        <f>+E76*E49</f>
        <v>#REF!</v>
      </c>
      <c r="F79" s="6" t="s">
        <v>165</v>
      </c>
      <c r="G79" s="5" t="e">
        <f>E79*100/10</f>
        <v>#REF!</v>
      </c>
      <c r="H79" s="5" t="s">
        <v>164</v>
      </c>
    </row>
    <row r="80" spans="1:8" x14ac:dyDescent="0.3">
      <c r="A80" s="1" t="s">
        <v>122</v>
      </c>
      <c r="B80" s="7" t="s">
        <v>188</v>
      </c>
      <c r="D80" s="2" t="s">
        <v>24</v>
      </c>
      <c r="E80" s="6" t="e">
        <f>+E76*$E$35/$E$36</f>
        <v>#REF!</v>
      </c>
      <c r="F80" s="6" t="s">
        <v>165</v>
      </c>
      <c r="G80" s="5" t="e">
        <f>E80*100/10</f>
        <v>#REF!</v>
      </c>
      <c r="H80" s="5" t="s">
        <v>164</v>
      </c>
    </row>
    <row r="82" spans="1:8" x14ac:dyDescent="0.3">
      <c r="A82" s="1" t="s">
        <v>222</v>
      </c>
      <c r="B82" s="5" t="s">
        <v>221</v>
      </c>
    </row>
    <row r="83" spans="1:8" x14ac:dyDescent="0.3">
      <c r="B83" s="1" t="s">
        <v>220</v>
      </c>
    </row>
    <row r="84" spans="1:8" x14ac:dyDescent="0.3">
      <c r="A84" s="1" t="s">
        <v>219</v>
      </c>
      <c r="B84" s="5" t="s">
        <v>218</v>
      </c>
      <c r="D84" s="2" t="s">
        <v>24</v>
      </c>
      <c r="E84" s="5">
        <f>+E60</f>
        <v>2.5</v>
      </c>
      <c r="F84" s="5" t="str">
        <f>+F60</f>
        <v>%</v>
      </c>
    </row>
    <row r="85" spans="1:8" ht="30.7" x14ac:dyDescent="0.35">
      <c r="B85" s="7" t="s">
        <v>217</v>
      </c>
      <c r="C85" s="2" t="s">
        <v>216</v>
      </c>
      <c r="D85" s="2" t="s">
        <v>24</v>
      </c>
      <c r="E85" s="4">
        <f>0.0002</f>
        <v>2.0000000000000001E-4</v>
      </c>
      <c r="F85" s="1" t="s">
        <v>210</v>
      </c>
    </row>
    <row r="86" spans="1:8" ht="30.05" x14ac:dyDescent="0.3">
      <c r="A86" s="1" t="s">
        <v>215</v>
      </c>
      <c r="B86" s="8" t="s">
        <v>214</v>
      </c>
      <c r="D86" s="2" t="s">
        <v>24</v>
      </c>
      <c r="E86" s="5">
        <f>+E56-(E85*E4)*100/E11</f>
        <v>4.6666666666666661</v>
      </c>
      <c r="F86" s="5" t="str">
        <f>+F62</f>
        <v>%</v>
      </c>
    </row>
    <row r="87" spans="1:8" x14ac:dyDescent="0.3">
      <c r="A87" s="1" t="s">
        <v>213</v>
      </c>
      <c r="B87" s="5" t="str">
        <f>"Loss due to Creep in Concrete calculated as the difference between the values for 4 &amp; 21 days  for an average stress  of "&amp; E50 &amp; " Mpa"</f>
        <v>Loss due to Creep in Concrete calculated as the difference between the values for 4 &amp; 21 days  for an average stress  of 21.115928602908 Mpa</v>
      </c>
    </row>
    <row r="88" spans="1:8" ht="16.899999999999999" x14ac:dyDescent="0.35">
      <c r="B88" s="1" t="s">
        <v>212</v>
      </c>
      <c r="C88" s="2" t="s">
        <v>211</v>
      </c>
      <c r="D88" s="2" t="s">
        <v>24</v>
      </c>
      <c r="E88" s="4">
        <f>0.00044</f>
        <v>4.4000000000000002E-4</v>
      </c>
      <c r="F88" s="1" t="s">
        <v>210</v>
      </c>
      <c r="G88" s="5" t="s">
        <v>209</v>
      </c>
      <c r="H88" s="10" t="s">
        <v>208</v>
      </c>
    </row>
    <row r="89" spans="1:8" x14ac:dyDescent="0.3">
      <c r="B89" s="5" t="s">
        <v>207</v>
      </c>
      <c r="D89" s="2" t="s">
        <v>24</v>
      </c>
      <c r="E89" s="5">
        <f>+E52-E88/10*E50*E4*100/E11</f>
        <v>13.138800019587229</v>
      </c>
      <c r="F89" s="5" t="s">
        <v>68</v>
      </c>
    </row>
    <row r="90" spans="1:8" x14ac:dyDescent="0.3">
      <c r="A90" s="1" t="s">
        <v>206</v>
      </c>
      <c r="B90" s="1" t="s">
        <v>205</v>
      </c>
    </row>
    <row r="91" spans="1:8" x14ac:dyDescent="0.3">
      <c r="B91" s="1" t="s">
        <v>204</v>
      </c>
      <c r="D91" s="2" t="s">
        <v>203</v>
      </c>
      <c r="E91" s="1">
        <f>+E4/E5</f>
        <v>4.9621528504319121</v>
      </c>
    </row>
    <row r="92" spans="1:8" ht="16.899999999999999" x14ac:dyDescent="0.35">
      <c r="B92" s="7" t="s">
        <v>202</v>
      </c>
      <c r="D92" s="2" t="s">
        <v>177</v>
      </c>
      <c r="E92" s="1" t="e">
        <f>0.5*(E79+E80)</f>
        <v>#REF!</v>
      </c>
      <c r="F92" s="6" t="s">
        <v>165</v>
      </c>
      <c r="G92" s="5" t="e">
        <f>E92*100/10</f>
        <v>#REF!</v>
      </c>
      <c r="H92" s="5" t="s">
        <v>164</v>
      </c>
    </row>
    <row r="93" spans="1:8" ht="16.899999999999999" x14ac:dyDescent="0.35">
      <c r="B93" s="5" t="s">
        <v>201</v>
      </c>
      <c r="D93" s="2" t="s">
        <v>200</v>
      </c>
      <c r="E93" s="1" t="e">
        <f>0.5*E91*E92</f>
        <v>#REF!</v>
      </c>
      <c r="F93" s="6" t="s">
        <v>165</v>
      </c>
      <c r="G93" s="5" t="e">
        <f>E93*100/10</f>
        <v>#REF!</v>
      </c>
      <c r="H93" s="5" t="s">
        <v>164</v>
      </c>
    </row>
    <row r="94" spans="1:8" x14ac:dyDescent="0.3">
      <c r="B94" s="5" t="s">
        <v>199</v>
      </c>
      <c r="D94" s="2" t="s">
        <v>24</v>
      </c>
      <c r="E94" s="5" t="e">
        <f>+E93/E11*100</f>
        <v>#REF!</v>
      </c>
      <c r="F94" s="5" t="s">
        <v>68</v>
      </c>
    </row>
    <row r="96" spans="1:8" ht="30.05" x14ac:dyDescent="0.3">
      <c r="B96" s="8" t="s">
        <v>198</v>
      </c>
      <c r="D96" s="9" t="s">
        <v>24</v>
      </c>
      <c r="E96" s="5" t="e">
        <f>+E84+E86+E89+E94</f>
        <v>#REF!</v>
      </c>
      <c r="F96" s="5" t="s">
        <v>68</v>
      </c>
    </row>
    <row r="97" spans="1:8" ht="30.05" x14ac:dyDescent="0.3">
      <c r="B97" s="7" t="s">
        <v>197</v>
      </c>
      <c r="D97" s="2" t="s">
        <v>24</v>
      </c>
      <c r="E97" s="1" t="e">
        <f>+(100-E96)/100*E71</f>
        <v>#REF!</v>
      </c>
      <c r="F97" s="1" t="s">
        <v>25</v>
      </c>
    </row>
    <row r="98" spans="1:8" x14ac:dyDescent="0.3">
      <c r="B98" s="7" t="s">
        <v>402</v>
      </c>
      <c r="D98" s="2" t="s">
        <v>35</v>
      </c>
      <c r="E98" s="4">
        <f>+'Girder Property'!I421</f>
        <v>3</v>
      </c>
    </row>
    <row r="99" spans="1:8" x14ac:dyDescent="0.3">
      <c r="B99" s="1" t="s">
        <v>196</v>
      </c>
      <c r="D99" s="2" t="s">
        <v>29</v>
      </c>
      <c r="E99" s="1">
        <f>+E34</f>
        <v>483.63610050776504</v>
      </c>
      <c r="F99" s="1" t="str">
        <f>+F34</f>
        <v>mm</v>
      </c>
    </row>
    <row r="100" spans="1:8" x14ac:dyDescent="0.3">
      <c r="A100" s="1" t="s">
        <v>195</v>
      </c>
      <c r="B100" s="1" t="s">
        <v>169</v>
      </c>
      <c r="C100" s="6"/>
      <c r="D100" s="2" t="s">
        <v>194</v>
      </c>
      <c r="E100" s="1" t="e">
        <f>+(E98*E97*1000/E36)+E98*E97*1000*E99/E37</f>
        <v>#REF!</v>
      </c>
      <c r="F100" s="6" t="s">
        <v>165</v>
      </c>
      <c r="G100" s="5" t="e">
        <f>E100*100/10</f>
        <v>#REF!</v>
      </c>
      <c r="H100" s="5" t="s">
        <v>164</v>
      </c>
    </row>
    <row r="101" spans="1:8" x14ac:dyDescent="0.3">
      <c r="A101" s="1" t="s">
        <v>193</v>
      </c>
      <c r="B101" s="1" t="s">
        <v>167</v>
      </c>
      <c r="C101" s="6"/>
      <c r="D101" s="2" t="s">
        <v>192</v>
      </c>
      <c r="E101" s="1" t="e">
        <f>+(E98*E97*1000/E36)-E98*E97*1000*E99/E38</f>
        <v>#REF!</v>
      </c>
      <c r="F101" s="6" t="s">
        <v>165</v>
      </c>
      <c r="G101" s="5" t="e">
        <f>E101*100/10</f>
        <v>#REF!</v>
      </c>
      <c r="H101" s="5" t="s">
        <v>164</v>
      </c>
    </row>
    <row r="102" spans="1:8" x14ac:dyDescent="0.3">
      <c r="A102" s="1" t="s">
        <v>191</v>
      </c>
      <c r="B102" s="1" t="s">
        <v>190</v>
      </c>
      <c r="D102" s="2" t="s">
        <v>24</v>
      </c>
      <c r="E102" s="1" t="e">
        <f>+(E98*E97*1000/E36)+(E98*E97*1000*E99/E37)*E99/E73</f>
        <v>#REF!</v>
      </c>
      <c r="F102" s="6" t="s">
        <v>165</v>
      </c>
      <c r="G102" s="5" t="e">
        <f>E102*100/10</f>
        <v>#REF!</v>
      </c>
      <c r="H102" s="5" t="s">
        <v>164</v>
      </c>
    </row>
    <row r="103" spans="1:8" x14ac:dyDescent="0.3">
      <c r="A103" s="1" t="s">
        <v>189</v>
      </c>
      <c r="B103" s="7" t="s">
        <v>188</v>
      </c>
      <c r="D103" s="2" t="s">
        <v>187</v>
      </c>
      <c r="E103" s="1" t="e">
        <f>+(E98*E97*1000/E36)</f>
        <v>#REF!</v>
      </c>
      <c r="F103" s="6" t="s">
        <v>165</v>
      </c>
      <c r="G103" s="5" t="e">
        <f>E103*100/10</f>
        <v>#REF!</v>
      </c>
      <c r="H103" s="5" t="s">
        <v>164</v>
      </c>
    </row>
    <row r="105" spans="1:8" x14ac:dyDescent="0.3">
      <c r="A105" s="1" t="s">
        <v>186</v>
      </c>
      <c r="B105" s="5" t="s">
        <v>185</v>
      </c>
    </row>
    <row r="106" spans="1:8" x14ac:dyDescent="0.3">
      <c r="B106" s="1" t="s">
        <v>184</v>
      </c>
    </row>
    <row r="107" spans="1:8" x14ac:dyDescent="0.3">
      <c r="D107" s="2" t="s">
        <v>24</v>
      </c>
      <c r="E107" s="1" t="e">
        <f>+E79+E102</f>
        <v>#REF!</v>
      </c>
      <c r="F107" s="6" t="s">
        <v>165</v>
      </c>
      <c r="G107" s="5" t="e">
        <f>E107*100/10</f>
        <v>#REF!</v>
      </c>
      <c r="H107" s="5" t="s">
        <v>164</v>
      </c>
    </row>
    <row r="108" spans="1:8" ht="30.05" x14ac:dyDescent="0.3">
      <c r="B108" s="7" t="s">
        <v>183</v>
      </c>
      <c r="D108" s="2" t="s">
        <v>24</v>
      </c>
      <c r="E108" s="1" t="e">
        <f>-E39*E34/E73</f>
        <v>#REF!</v>
      </c>
      <c r="F108" s="6" t="s">
        <v>165</v>
      </c>
      <c r="G108" s="5" t="e">
        <f>E108*100/10</f>
        <v>#REF!</v>
      </c>
      <c r="H108" s="5" t="s">
        <v>164</v>
      </c>
    </row>
    <row r="109" spans="1:8" ht="16.899999999999999" x14ac:dyDescent="0.35">
      <c r="B109" s="1" t="s">
        <v>182</v>
      </c>
      <c r="D109" s="2" t="s">
        <v>181</v>
      </c>
      <c r="E109" s="1" t="e">
        <f>E107+E108</f>
        <v>#REF!</v>
      </c>
      <c r="F109" s="6" t="s">
        <v>165</v>
      </c>
      <c r="G109" s="5" t="e">
        <f>E109*100/10</f>
        <v>#REF!</v>
      </c>
      <c r="H109" s="5" t="s">
        <v>164</v>
      </c>
    </row>
    <row r="110" spans="1:8" x14ac:dyDescent="0.3">
      <c r="B110" s="7" t="s">
        <v>180</v>
      </c>
      <c r="D110" s="2" t="s">
        <v>179</v>
      </c>
      <c r="E110" s="1" t="e">
        <f>+E80+E103</f>
        <v>#REF!</v>
      </c>
      <c r="F110" s="6" t="s">
        <v>165</v>
      </c>
      <c r="G110" s="5" t="e">
        <f>E110*100/10</f>
        <v>#REF!</v>
      </c>
      <c r="H110" s="5" t="s">
        <v>164</v>
      </c>
    </row>
    <row r="111" spans="1:8" ht="16.899999999999999" x14ac:dyDescent="0.35">
      <c r="B111" s="1" t="s">
        <v>178</v>
      </c>
      <c r="D111" s="2" t="s">
        <v>177</v>
      </c>
      <c r="E111" s="1" t="e">
        <f>0.5*(E110+E109)</f>
        <v>#REF!</v>
      </c>
      <c r="F111" s="6" t="s">
        <v>165</v>
      </c>
      <c r="G111" s="5" t="e">
        <f>E111*100/10</f>
        <v>#REF!</v>
      </c>
      <c r="H111" s="5" t="s">
        <v>164</v>
      </c>
    </row>
    <row r="112" spans="1:8" x14ac:dyDescent="0.3">
      <c r="B112" s="7" t="s">
        <v>176</v>
      </c>
      <c r="D112" s="2" t="s">
        <v>24</v>
      </c>
      <c r="E112" s="5" t="e">
        <f>E88/10*E111*E4*100/E11</f>
        <v>#REF!</v>
      </c>
      <c r="F112" s="5" t="s">
        <v>68</v>
      </c>
      <c r="G112" s="5"/>
      <c r="H112" s="5"/>
    </row>
    <row r="113" spans="1:8" x14ac:dyDescent="0.3">
      <c r="B113" s="7" t="s">
        <v>175</v>
      </c>
      <c r="D113" s="2" t="s">
        <v>24</v>
      </c>
      <c r="E113" s="5">
        <f>E85*E4*100/E11</f>
        <v>4.4444444444444446</v>
      </c>
      <c r="F113" s="5" t="s">
        <v>68</v>
      </c>
    </row>
    <row r="114" spans="1:8" x14ac:dyDescent="0.3">
      <c r="B114" s="1" t="s">
        <v>174</v>
      </c>
      <c r="D114" s="2" t="s">
        <v>24</v>
      </c>
      <c r="E114" s="5">
        <f>+E60</f>
        <v>2.5</v>
      </c>
      <c r="F114" s="5" t="s">
        <v>68</v>
      </c>
    </row>
    <row r="115" spans="1:8" x14ac:dyDescent="0.3">
      <c r="B115" s="8" t="s">
        <v>173</v>
      </c>
      <c r="D115" s="2" t="s">
        <v>24</v>
      </c>
      <c r="E115" s="5" t="e">
        <f>+E112+E113+E114</f>
        <v>#REF!</v>
      </c>
      <c r="F115" s="5" t="s">
        <v>68</v>
      </c>
    </row>
    <row r="116" spans="1:8" ht="30.05" x14ac:dyDescent="0.3">
      <c r="B116" s="7" t="s">
        <v>172</v>
      </c>
      <c r="D116" s="2" t="s">
        <v>24</v>
      </c>
      <c r="E116" s="1" t="e">
        <f>E71*(100-E115)/100</f>
        <v>#REF!</v>
      </c>
      <c r="F116" s="5" t="s">
        <v>25</v>
      </c>
    </row>
    <row r="117" spans="1:8" x14ac:dyDescent="0.3">
      <c r="B117" s="5" t="s">
        <v>171</v>
      </c>
    </row>
    <row r="118" spans="1:8" x14ac:dyDescent="0.3">
      <c r="B118" s="1" t="s">
        <v>169</v>
      </c>
      <c r="D118" s="2" t="s">
        <v>24</v>
      </c>
      <c r="E118" s="1" t="e">
        <f>E77*(100-E115)/100</f>
        <v>#REF!</v>
      </c>
      <c r="F118" s="6" t="s">
        <v>165</v>
      </c>
      <c r="G118" s="5" t="e">
        <f>E118*100/10</f>
        <v>#REF!</v>
      </c>
      <c r="H118" s="5" t="s">
        <v>164</v>
      </c>
    </row>
    <row r="119" spans="1:8" x14ac:dyDescent="0.3">
      <c r="B119" s="1" t="s">
        <v>167</v>
      </c>
      <c r="D119" s="2" t="s">
        <v>24</v>
      </c>
      <c r="E119" s="1" t="e">
        <f>E78*(100-E115)/100</f>
        <v>#REF!</v>
      </c>
      <c r="F119" s="6" t="s">
        <v>165</v>
      </c>
      <c r="G119" s="5" t="e">
        <f>E119*100/10</f>
        <v>#REF!</v>
      </c>
      <c r="H119" s="5" t="s">
        <v>164</v>
      </c>
    </row>
    <row r="120" spans="1:8" x14ac:dyDescent="0.3">
      <c r="B120" s="1" t="s">
        <v>170</v>
      </c>
    </row>
    <row r="121" spans="1:8" x14ac:dyDescent="0.3">
      <c r="B121" s="1" t="s">
        <v>169</v>
      </c>
      <c r="D121" s="2" t="s">
        <v>168</v>
      </c>
      <c r="E121" s="1" t="e">
        <f>+E77+E100</f>
        <v>#REF!</v>
      </c>
      <c r="F121" s="6" t="s">
        <v>165</v>
      </c>
      <c r="G121" s="5" t="e">
        <f>E121*100/10</f>
        <v>#REF!</v>
      </c>
      <c r="H121" s="5" t="s">
        <v>164</v>
      </c>
    </row>
    <row r="122" spans="1:8" x14ac:dyDescent="0.3">
      <c r="B122" s="1" t="s">
        <v>167</v>
      </c>
      <c r="D122" s="2" t="s">
        <v>166</v>
      </c>
      <c r="E122" s="1" t="e">
        <f>E78+E101</f>
        <v>#REF!</v>
      </c>
      <c r="F122" s="6" t="s">
        <v>165</v>
      </c>
      <c r="G122" s="5" t="e">
        <f>E122*100/10</f>
        <v>#REF!</v>
      </c>
      <c r="H122" s="5" t="s">
        <v>164</v>
      </c>
    </row>
    <row r="124" spans="1:8" x14ac:dyDescent="0.3">
      <c r="B124" s="23" t="s">
        <v>452</v>
      </c>
      <c r="D124" s="20" t="s">
        <v>163</v>
      </c>
      <c r="E124" s="21" t="s">
        <v>162</v>
      </c>
    </row>
    <row r="125" spans="1:8" x14ac:dyDescent="0.3">
      <c r="A125" s="1">
        <v>1</v>
      </c>
      <c r="B125" s="24" t="s">
        <v>161</v>
      </c>
      <c r="C125" s="38"/>
      <c r="D125" s="33" t="e">
        <f>-E39</f>
        <v>#REF!</v>
      </c>
      <c r="E125" s="25" t="e">
        <f>+E40</f>
        <v>#REF!</v>
      </c>
    </row>
    <row r="126" spans="1:8" x14ac:dyDescent="0.3">
      <c r="A126" s="1">
        <v>2</v>
      </c>
      <c r="B126" s="26" t="s">
        <v>160</v>
      </c>
      <c r="C126" s="39"/>
      <c r="D126" s="34">
        <f>+E44</f>
        <v>34.789640967467378</v>
      </c>
      <c r="E126" s="27">
        <f>+E45</f>
        <v>-3.558738680737914</v>
      </c>
    </row>
    <row r="127" spans="1:8" x14ac:dyDescent="0.3">
      <c r="A127" s="1">
        <v>3</v>
      </c>
      <c r="B127" s="26" t="s">
        <v>159</v>
      </c>
      <c r="C127" s="39"/>
      <c r="D127" s="34">
        <f>+E65</f>
        <v>18.996327902940571</v>
      </c>
      <c r="E127" s="27">
        <f>+E66</f>
        <v>-1.9431924279814414</v>
      </c>
    </row>
    <row r="128" spans="1:8" x14ac:dyDescent="0.3">
      <c r="A128" s="1">
        <v>4</v>
      </c>
      <c r="B128" s="26" t="s">
        <v>158</v>
      </c>
      <c r="C128" s="39"/>
      <c r="D128" s="28" t="e">
        <f>+D125+D126</f>
        <v>#REF!</v>
      </c>
      <c r="E128" s="28" t="e">
        <f>+E125+E126</f>
        <v>#REF!</v>
      </c>
      <c r="G128" s="1">
        <f>'Girder Property'!I57/10</f>
        <v>2.5</v>
      </c>
      <c r="H128" s="1">
        <f>'Girder Property'!I56/10</f>
        <v>25</v>
      </c>
    </row>
    <row r="129" spans="1:11" x14ac:dyDescent="0.3">
      <c r="A129" s="1">
        <v>5</v>
      </c>
      <c r="B129" s="26" t="s">
        <v>157</v>
      </c>
      <c r="C129" s="39"/>
      <c r="D129" s="28" t="e">
        <f>+D125+D127</f>
        <v>#REF!</v>
      </c>
      <c r="E129" s="28" t="e">
        <f>+E125+E127</f>
        <v>#REF!</v>
      </c>
      <c r="G129" s="1">
        <f>+G128</f>
        <v>2.5</v>
      </c>
      <c r="H129" s="1">
        <f>+H128</f>
        <v>25</v>
      </c>
    </row>
    <row r="130" spans="1:11" x14ac:dyDescent="0.3">
      <c r="A130" s="1">
        <v>6</v>
      </c>
      <c r="B130" s="26" t="s">
        <v>156</v>
      </c>
      <c r="C130" s="39"/>
      <c r="D130" s="34" t="e">
        <f>+E121</f>
        <v>#REF!</v>
      </c>
      <c r="E130" s="27" t="e">
        <f>+E122</f>
        <v>#REF!</v>
      </c>
    </row>
    <row r="131" spans="1:11" x14ac:dyDescent="0.3">
      <c r="A131" s="1">
        <v>7</v>
      </c>
      <c r="B131" s="26" t="s">
        <v>155</v>
      </c>
      <c r="C131" s="39"/>
      <c r="D131" s="34" t="e">
        <f>+E118</f>
        <v>#REF!</v>
      </c>
      <c r="E131" s="27" t="e">
        <f>+E119</f>
        <v>#REF!</v>
      </c>
      <c r="I131" s="1" t="s">
        <v>384</v>
      </c>
    </row>
    <row r="132" spans="1:11" x14ac:dyDescent="0.3">
      <c r="A132" s="1">
        <v>8</v>
      </c>
      <c r="B132" s="26" t="s">
        <v>154</v>
      </c>
      <c r="C132" s="39"/>
      <c r="D132" s="29" t="e">
        <f>+D130+D125</f>
        <v>#REF!</v>
      </c>
      <c r="E132" s="29" t="e">
        <f>+E130+E125</f>
        <v>#REF!</v>
      </c>
      <c r="G132" s="1">
        <f>+G128</f>
        <v>2.5</v>
      </c>
      <c r="H132" s="1">
        <f>+H128</f>
        <v>25</v>
      </c>
    </row>
    <row r="133" spans="1:11" x14ac:dyDescent="0.3">
      <c r="A133" s="1">
        <v>9</v>
      </c>
      <c r="B133" s="26" t="s">
        <v>153</v>
      </c>
      <c r="C133" s="39"/>
      <c r="D133" s="29" t="e">
        <f>+D131+D129</f>
        <v>#REF!</v>
      </c>
      <c r="E133" s="29" t="e">
        <f>+E131+E129</f>
        <v>#REF!</v>
      </c>
      <c r="G133" s="1">
        <f>+G129</f>
        <v>2.5</v>
      </c>
      <c r="H133" s="1">
        <f>+H129</f>
        <v>25</v>
      </c>
      <c r="K133" s="1" t="s">
        <v>22</v>
      </c>
    </row>
    <row r="134" spans="1:11" x14ac:dyDescent="0.3">
      <c r="A134" s="1">
        <v>10</v>
      </c>
      <c r="B134" s="26" t="s">
        <v>152</v>
      </c>
      <c r="C134" s="39"/>
      <c r="D134" s="35" t="e">
        <f>-'Girder Property'!#REF!/10</f>
        <v>#REF!</v>
      </c>
      <c r="E134" s="30" t="e">
        <f>'Girder Property'!#REF!/10</f>
        <v>#REF!</v>
      </c>
    </row>
    <row r="135" spans="1:11" x14ac:dyDescent="0.3">
      <c r="A135" s="1">
        <v>11</v>
      </c>
      <c r="B135" s="26" t="s">
        <v>151</v>
      </c>
      <c r="C135" s="39"/>
      <c r="D135" s="36" t="e">
        <f>+D134+D132</f>
        <v>#REF!</v>
      </c>
      <c r="E135" s="29" t="e">
        <f>+E134+E132</f>
        <v>#REF!</v>
      </c>
      <c r="G135" s="1">
        <f>+'Girder Property'!I61/10</f>
        <v>0</v>
      </c>
      <c r="H135" s="1">
        <f>'Girder Property'!I60/10</f>
        <v>16.5</v>
      </c>
    </row>
    <row r="136" spans="1:11" x14ac:dyDescent="0.3">
      <c r="A136" s="1">
        <v>12</v>
      </c>
      <c r="B136" s="26" t="s">
        <v>150</v>
      </c>
      <c r="C136" s="39"/>
      <c r="D136" s="29" t="e">
        <f>+D134+D133</f>
        <v>#REF!</v>
      </c>
      <c r="E136" s="29" t="e">
        <f>+E134+E133</f>
        <v>#REF!</v>
      </c>
      <c r="G136" s="1">
        <f>+G135</f>
        <v>0</v>
      </c>
      <c r="H136" s="1">
        <f>+H135</f>
        <v>16.5</v>
      </c>
    </row>
    <row r="137" spans="1:11" x14ac:dyDescent="0.3">
      <c r="A137" s="1">
        <v>13</v>
      </c>
      <c r="B137" s="26" t="s">
        <v>149</v>
      </c>
      <c r="C137" s="39"/>
      <c r="D137" s="35" t="e">
        <f>-'Girder Property'!#REF!/10</f>
        <v>#REF!</v>
      </c>
      <c r="E137" s="30" t="e">
        <f>'Girder Property'!#REF!/10</f>
        <v>#REF!</v>
      </c>
    </row>
    <row r="138" spans="1:11" x14ac:dyDescent="0.3">
      <c r="A138" s="1">
        <v>14</v>
      </c>
      <c r="B138" s="26" t="s">
        <v>148</v>
      </c>
      <c r="C138" s="39"/>
      <c r="D138" s="37" t="e">
        <f>+D137+D135</f>
        <v>#REF!</v>
      </c>
      <c r="E138" s="29" t="e">
        <f>+E137+E135</f>
        <v>#REF!</v>
      </c>
      <c r="G138" s="1">
        <f>+G135</f>
        <v>0</v>
      </c>
      <c r="H138" s="1">
        <f>+H135</f>
        <v>16.5</v>
      </c>
    </row>
    <row r="139" spans="1:11" x14ac:dyDescent="0.3">
      <c r="A139" s="1">
        <v>15</v>
      </c>
      <c r="B139" s="31" t="s">
        <v>147</v>
      </c>
      <c r="C139" s="40"/>
      <c r="D139" s="32" t="e">
        <f>+D137+D136</f>
        <v>#REF!</v>
      </c>
      <c r="E139" s="32" t="e">
        <f>+E137+E136</f>
        <v>#REF!</v>
      </c>
      <c r="G139" s="1">
        <f>+G136</f>
        <v>0</v>
      </c>
      <c r="H139" s="1">
        <f>+H136</f>
        <v>16.5</v>
      </c>
    </row>
    <row r="143" spans="1:11" x14ac:dyDescent="0.3">
      <c r="G143" s="3"/>
      <c r="H143" s="3"/>
    </row>
    <row r="144" spans="1:11" x14ac:dyDescent="0.3">
      <c r="G144" s="3"/>
      <c r="H144" s="3"/>
    </row>
    <row r="146" spans="4:8" ht="15.05" x14ac:dyDescent="0.3">
      <c r="D146" s="1"/>
      <c r="G146" s="3"/>
      <c r="H146" s="3"/>
    </row>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hidden="1" x14ac:dyDescent="0.3"/>
    <row r="178" hidden="1" x14ac:dyDescent="0.3"/>
    <row r="179" hidden="1" x14ac:dyDescent="0.3"/>
    <row r="180" hidden="1" x14ac:dyDescent="0.3"/>
    <row r="181" hidden="1" x14ac:dyDescent="0.3"/>
    <row r="182" hidden="1" x14ac:dyDescent="0.3"/>
    <row r="183" hidden="1" x14ac:dyDescent="0.3"/>
    <row r="184" hidden="1" x14ac:dyDescent="0.3"/>
    <row r="185" hidden="1" x14ac:dyDescent="0.3"/>
  </sheetData>
  <pageMargins left="1" right="0" top="1" bottom="0.5" header="0.5" footer="0.25"/>
  <pageSetup paperSize="9" scale="88" orientation="portrait" r:id="rId1"/>
  <headerFooter alignWithMargins="0">
    <oddFooter>&amp;C &amp;P / &amp;N</oddFooter>
  </headerFooter>
  <colBreaks count="1" manualBreakCount="1">
    <brk id="6"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J49"/>
  <sheetViews>
    <sheetView topLeftCell="A43" zoomScale="120" zoomScaleNormal="120" workbookViewId="0">
      <selection activeCell="I11" sqref="I11"/>
    </sheetView>
  </sheetViews>
  <sheetFormatPr defaultColWidth="9.109375" defaultRowHeight="10.65" x14ac:dyDescent="0.2"/>
  <cols>
    <col min="1" max="16384" width="9.109375" style="44"/>
  </cols>
  <sheetData>
    <row r="1" spans="1:10" x14ac:dyDescent="0.2">
      <c r="A1" s="270" t="s">
        <v>1015</v>
      </c>
      <c r="B1" s="47"/>
    </row>
    <row r="2" spans="1:10" x14ac:dyDescent="0.2">
      <c r="A2" s="47"/>
      <c r="B2" s="47" t="s">
        <v>1016</v>
      </c>
    </row>
    <row r="3" spans="1:10" x14ac:dyDescent="0.2">
      <c r="A3" s="47"/>
      <c r="B3" s="47" t="s">
        <v>560</v>
      </c>
      <c r="C3" s="44" t="str">
        <f>"M "&amp;(fck)</f>
        <v>M 50</v>
      </c>
      <c r="D3" s="44" t="s">
        <v>1017</v>
      </c>
      <c r="E3" s="157">
        <f>280/(3*E4)</f>
        <v>5.833333333333333</v>
      </c>
      <c r="F3" s="44" t="s">
        <v>971</v>
      </c>
      <c r="G3" s="227">
        <f>E3*E4/(E3*E4+E5)</f>
        <v>0.25339366515837103</v>
      </c>
      <c r="H3" s="44" t="s">
        <v>1018</v>
      </c>
      <c r="I3" s="44">
        <f>ds*10</f>
        <v>250</v>
      </c>
      <c r="J3" s="44" t="s">
        <v>42</v>
      </c>
    </row>
    <row r="4" spans="1:10" x14ac:dyDescent="0.2">
      <c r="B4" s="44" t="s">
        <v>1020</v>
      </c>
      <c r="C4" s="44" t="str">
        <f>"Fe "&amp;(fy)</f>
        <v>Fe 500</v>
      </c>
      <c r="D4" s="44" t="s">
        <v>1036</v>
      </c>
      <c r="E4" s="80">
        <v>16</v>
      </c>
      <c r="F4" s="44" t="s">
        <v>1021</v>
      </c>
      <c r="G4" s="227">
        <f>1-G3/3</f>
        <v>0.91553544494720962</v>
      </c>
      <c r="H4" s="44" t="s">
        <v>1019</v>
      </c>
      <c r="I4" s="44">
        <f>co</f>
        <v>50</v>
      </c>
      <c r="J4" s="44" t="s">
        <v>42</v>
      </c>
    </row>
    <row r="5" spans="1:10" x14ac:dyDescent="0.2">
      <c r="D5" s="44" t="s">
        <v>1034</v>
      </c>
      <c r="E5" s="44">
        <f>0.55*fy</f>
        <v>275</v>
      </c>
      <c r="F5" s="44" t="s">
        <v>1027</v>
      </c>
      <c r="G5" s="227">
        <f>0.5*G3*G4*E4</f>
        <v>1.8559270558205878</v>
      </c>
    </row>
    <row r="6" spans="1:10" x14ac:dyDescent="0.2">
      <c r="B6" s="271" t="s">
        <v>1025</v>
      </c>
    </row>
    <row r="7" spans="1:10" x14ac:dyDescent="0.2">
      <c r="A7" s="67" t="s">
        <v>11</v>
      </c>
      <c r="B7" s="271" t="s">
        <v>1022</v>
      </c>
      <c r="E7" s="44">
        <v>100</v>
      </c>
      <c r="F7" s="44" t="s">
        <v>23</v>
      </c>
    </row>
    <row r="8" spans="1:10" x14ac:dyDescent="0.2">
      <c r="A8" s="67" t="s">
        <v>428</v>
      </c>
      <c r="B8" s="271" t="s">
        <v>1023</v>
      </c>
      <c r="E8" s="44">
        <v>17</v>
      </c>
      <c r="F8" s="44" t="s">
        <v>23</v>
      </c>
    </row>
    <row r="9" spans="1:10" x14ac:dyDescent="0.2">
      <c r="A9" s="67" t="s">
        <v>654</v>
      </c>
      <c r="B9" s="271" t="s">
        <v>1024</v>
      </c>
      <c r="E9" s="44">
        <v>17</v>
      </c>
      <c r="F9" s="44" t="s">
        <v>23</v>
      </c>
    </row>
    <row r="11" spans="1:10" x14ac:dyDescent="0.2">
      <c r="B11" s="326" t="s">
        <v>1026</v>
      </c>
    </row>
    <row r="12" spans="1:10" x14ac:dyDescent="0.2">
      <c r="A12" s="67" t="s">
        <v>11</v>
      </c>
      <c r="B12" s="271" t="s">
        <v>1022</v>
      </c>
      <c r="F12" s="44">
        <f>E7</f>
        <v>100</v>
      </c>
      <c r="G12" s="44" t="s">
        <v>23</v>
      </c>
    </row>
    <row r="13" spans="1:10" x14ac:dyDescent="0.2">
      <c r="B13" s="271" t="s">
        <v>1033</v>
      </c>
      <c r="F13" s="157">
        <f>SQRT(F12*10^6/($G$5*1000))</f>
        <v>232.12373420883708</v>
      </c>
      <c r="G13" s="44" t="s">
        <v>42</v>
      </c>
    </row>
    <row r="14" spans="1:10" s="133" customFormat="1" ht="9.6999999999999993" customHeight="1" x14ac:dyDescent="0.2">
      <c r="B14" s="133" t="s">
        <v>1043</v>
      </c>
      <c r="F14" s="323">
        <f>ds*10-co-F16/2+200</f>
        <v>395</v>
      </c>
      <c r="G14" s="44" t="s">
        <v>42</v>
      </c>
      <c r="H14" s="133" t="str">
        <f>IF(F14&gt;F13,"OK","NotOk")</f>
        <v>OK</v>
      </c>
    </row>
    <row r="15" spans="1:10" s="133" customFormat="1" x14ac:dyDescent="0.2">
      <c r="B15" s="44" t="s">
        <v>606</v>
      </c>
      <c r="F15" s="323">
        <f>F12*10^6/(F14*$G$4*$E$5)/100</f>
        <v>10.055300360390762</v>
      </c>
      <c r="G15" s="44" t="s">
        <v>598</v>
      </c>
    </row>
    <row r="16" spans="1:10" s="133" customFormat="1" x14ac:dyDescent="0.2">
      <c r="B16" s="44" t="s">
        <v>1035</v>
      </c>
      <c r="F16" s="324">
        <v>10</v>
      </c>
      <c r="G16" s="44" t="s">
        <v>42</v>
      </c>
    </row>
    <row r="17" spans="1:8" s="133" customFormat="1" x14ac:dyDescent="0.2">
      <c r="B17" s="44" t="s">
        <v>1031</v>
      </c>
      <c r="F17" s="325">
        <f>F15*100/(2*PI()/4*F16^2)</f>
        <v>6.4014030265196258</v>
      </c>
      <c r="G17" s="44" t="s">
        <v>607</v>
      </c>
    </row>
    <row r="18" spans="1:8" s="133" customFormat="1" ht="11.3" customHeight="1" x14ac:dyDescent="0.2">
      <c r="B18" s="44" t="s">
        <v>1032</v>
      </c>
      <c r="F18" s="323">
        <f>ROUNDDOWN(1000/F17/5,0)*5</f>
        <v>155</v>
      </c>
      <c r="G18" s="44" t="s">
        <v>42</v>
      </c>
    </row>
    <row r="20" spans="1:8" x14ac:dyDescent="0.2">
      <c r="A20" s="67" t="s">
        <v>428</v>
      </c>
      <c r="B20" s="271" t="s">
        <v>1023</v>
      </c>
      <c r="F20" s="44">
        <f>E8</f>
        <v>17</v>
      </c>
      <c r="G20" s="44" t="s">
        <v>23</v>
      </c>
    </row>
    <row r="21" spans="1:8" x14ac:dyDescent="0.2">
      <c r="B21" s="271" t="s">
        <v>1033</v>
      </c>
      <c r="F21" s="157">
        <f>SQRT(F20*10^6/($G$5*1000))</f>
        <v>95.707067435583468</v>
      </c>
      <c r="G21" s="44" t="s">
        <v>42</v>
      </c>
    </row>
    <row r="22" spans="1:8" s="133" customFormat="1" ht="9.6999999999999993" customHeight="1" x14ac:dyDescent="0.2">
      <c r="B22" s="133" t="s">
        <v>1043</v>
      </c>
      <c r="F22" s="323">
        <f>ds*10-co-F24/2+200</f>
        <v>395</v>
      </c>
      <c r="G22" s="44" t="s">
        <v>42</v>
      </c>
      <c r="H22" s="133" t="str">
        <f>IF(F22&gt;F21,"OK","NotOk")</f>
        <v>OK</v>
      </c>
    </row>
    <row r="23" spans="1:8" s="133" customFormat="1" x14ac:dyDescent="0.2">
      <c r="B23" s="44" t="s">
        <v>1029</v>
      </c>
      <c r="F23" s="323">
        <f>F20*10^6/(F22*$G$4*$E$5)/100</f>
        <v>1.7094010612664294</v>
      </c>
      <c r="G23" s="44" t="s">
        <v>598</v>
      </c>
    </row>
    <row r="24" spans="1:8" s="133" customFormat="1" x14ac:dyDescent="0.2">
      <c r="B24" s="44" t="s">
        <v>1030</v>
      </c>
      <c r="F24" s="324">
        <v>10</v>
      </c>
      <c r="G24" s="44" t="s">
        <v>42</v>
      </c>
    </row>
    <row r="25" spans="1:8" s="133" customFormat="1" x14ac:dyDescent="0.2">
      <c r="B25" s="44" t="s">
        <v>1031</v>
      </c>
      <c r="F25" s="325">
        <f>F23*100/(2*PI()/4*F24^2)</f>
        <v>1.0882385145083362</v>
      </c>
      <c r="G25" s="44" t="s">
        <v>607</v>
      </c>
    </row>
    <row r="26" spans="1:8" s="133" customFormat="1" ht="11.3" customHeight="1" x14ac:dyDescent="0.2">
      <c r="B26" s="44" t="s">
        <v>1032</v>
      </c>
      <c r="F26" s="323">
        <f>ROUNDDOWN(1000/F25/5,0)*5</f>
        <v>915</v>
      </c>
      <c r="G26" s="44" t="s">
        <v>42</v>
      </c>
    </row>
    <row r="27" spans="1:8" s="133" customFormat="1" ht="11.3" customHeight="1" x14ac:dyDescent="0.2">
      <c r="B27" s="44" t="s">
        <v>1044</v>
      </c>
      <c r="F27" s="323">
        <v>300</v>
      </c>
      <c r="G27" s="44" t="s">
        <v>42</v>
      </c>
    </row>
    <row r="29" spans="1:8" x14ac:dyDescent="0.2">
      <c r="A29" s="67" t="s">
        <v>654</v>
      </c>
      <c r="B29" s="271" t="s">
        <v>1024</v>
      </c>
      <c r="F29" s="44">
        <f>E9</f>
        <v>17</v>
      </c>
      <c r="G29" s="44" t="s">
        <v>23</v>
      </c>
    </row>
    <row r="30" spans="1:8" x14ac:dyDescent="0.2">
      <c r="B30" s="271" t="s">
        <v>1033</v>
      </c>
      <c r="F30" s="157">
        <f>SQRT(F29*10^6/($G$5*1000))</f>
        <v>95.707067435583468</v>
      </c>
      <c r="G30" s="44" t="s">
        <v>42</v>
      </c>
    </row>
    <row r="31" spans="1:8" s="133" customFormat="1" ht="9.6999999999999993" customHeight="1" x14ac:dyDescent="0.2">
      <c r="B31" s="133" t="s">
        <v>1028</v>
      </c>
      <c r="F31" s="323">
        <f>ds*10-co-F33/2</f>
        <v>195</v>
      </c>
      <c r="G31" s="44" t="s">
        <v>42</v>
      </c>
      <c r="H31" s="133" t="str">
        <f>IF(F31&gt;F30,"OK","NotOk")</f>
        <v>OK</v>
      </c>
    </row>
    <row r="32" spans="1:8" s="133" customFormat="1" x14ac:dyDescent="0.2">
      <c r="B32" s="44" t="s">
        <v>1029</v>
      </c>
      <c r="F32" s="323">
        <f>F29*10^6/(F31*$G$4*$E$5)/100</f>
        <v>3.4626329189755878</v>
      </c>
      <c r="G32" s="44" t="s">
        <v>598</v>
      </c>
    </row>
    <row r="33" spans="2:7" s="133" customFormat="1" x14ac:dyDescent="0.2">
      <c r="B33" s="44" t="s">
        <v>1030</v>
      </c>
      <c r="F33" s="324">
        <v>10</v>
      </c>
      <c r="G33" s="44" t="s">
        <v>42</v>
      </c>
    </row>
    <row r="34" spans="2:7" s="133" customFormat="1" x14ac:dyDescent="0.2">
      <c r="B34" s="44" t="s">
        <v>1031</v>
      </c>
      <c r="F34" s="325">
        <f>F32*100/(2*PI()/4*F33^2)</f>
        <v>2.2043805806707324</v>
      </c>
      <c r="G34" s="44" t="s">
        <v>607</v>
      </c>
    </row>
    <row r="35" spans="2:7" s="133" customFormat="1" ht="11.3" customHeight="1" x14ac:dyDescent="0.2">
      <c r="B35" s="44" t="s">
        <v>1032</v>
      </c>
      <c r="F35" s="323">
        <f>ROUNDDOWN(1000/F34/5,0)*5</f>
        <v>450</v>
      </c>
      <c r="G35" s="44" t="s">
        <v>42</v>
      </c>
    </row>
    <row r="36" spans="2:7" s="133" customFormat="1" ht="11.3" customHeight="1" x14ac:dyDescent="0.2">
      <c r="B36" s="44" t="s">
        <v>1044</v>
      </c>
      <c r="F36" s="323">
        <v>300</v>
      </c>
      <c r="G36" s="44" t="s">
        <v>42</v>
      </c>
    </row>
    <row r="37" spans="2:7" x14ac:dyDescent="0.2">
      <c r="B37" s="68" t="s">
        <v>1037</v>
      </c>
    </row>
    <row r="38" spans="2:7" x14ac:dyDescent="0.2">
      <c r="B38" s="44" t="s">
        <v>1038</v>
      </c>
    </row>
    <row r="39" spans="2:7" x14ac:dyDescent="0.2">
      <c r="B39" s="44" t="s">
        <v>1039</v>
      </c>
      <c r="F39" s="44">
        <v>77</v>
      </c>
      <c r="G39" s="44" t="s">
        <v>23</v>
      </c>
    </row>
    <row r="40" spans="2:7" x14ac:dyDescent="0.2">
      <c r="B40" s="44" t="s">
        <v>1040</v>
      </c>
      <c r="F40" s="44">
        <v>23</v>
      </c>
      <c r="G40" s="44" t="s">
        <v>23</v>
      </c>
    </row>
    <row r="41" spans="2:7" x14ac:dyDescent="0.2">
      <c r="B41" s="44" t="s">
        <v>1025</v>
      </c>
      <c r="F41" s="44">
        <f>0.3*F39+0.2*F40</f>
        <v>27.7</v>
      </c>
      <c r="G41" s="44" t="s">
        <v>23</v>
      </c>
    </row>
    <row r="42" spans="2:7" x14ac:dyDescent="0.2">
      <c r="B42" s="44" t="s">
        <v>1041</v>
      </c>
      <c r="F42" s="157">
        <f>F41*10^6/(F31*$G$4*$E$5)/100</f>
        <v>5.6420548150366923</v>
      </c>
      <c r="G42" s="44" t="s">
        <v>598</v>
      </c>
    </row>
    <row r="43" spans="2:7" x14ac:dyDescent="0.2">
      <c r="B43" s="44" t="s">
        <v>1042</v>
      </c>
      <c r="F43" s="44">
        <f>s*100*ds*0.12%</f>
        <v>7.1999999999999993</v>
      </c>
      <c r="G43" s="44" t="s">
        <v>598</v>
      </c>
    </row>
    <row r="44" spans="2:7" s="133" customFormat="1" x14ac:dyDescent="0.2">
      <c r="B44" s="44" t="s">
        <v>1030</v>
      </c>
      <c r="F44" s="324">
        <v>10</v>
      </c>
      <c r="G44" s="44" t="s">
        <v>42</v>
      </c>
    </row>
    <row r="45" spans="2:7" s="133" customFormat="1" x14ac:dyDescent="0.2">
      <c r="B45" s="44" t="s">
        <v>1031</v>
      </c>
      <c r="F45" s="325">
        <f>MAX(F43,F42)*100/(2*PI()/4*F44^2)</f>
        <v>4.583662361046585</v>
      </c>
      <c r="G45" s="44" t="s">
        <v>607</v>
      </c>
    </row>
    <row r="46" spans="2:7" s="133" customFormat="1" ht="11.3" customHeight="1" x14ac:dyDescent="0.2">
      <c r="B46" s="44" t="s">
        <v>1032</v>
      </c>
      <c r="F46" s="323">
        <f>ROUNDDOWN(1000/F45/5,0)*5</f>
        <v>215</v>
      </c>
      <c r="G46" s="44" t="s">
        <v>42</v>
      </c>
    </row>
    <row r="47" spans="2:7" s="133" customFormat="1" x14ac:dyDescent="0.2">
      <c r="B47" s="44"/>
      <c r="F47" s="324"/>
      <c r="G47" s="44"/>
    </row>
    <row r="48" spans="2:7" s="133" customFormat="1" x14ac:dyDescent="0.2">
      <c r="B48" s="44"/>
      <c r="F48" s="325"/>
      <c r="G48" s="44"/>
    </row>
    <row r="49" spans="2:7" s="133" customFormat="1" ht="11.3" customHeight="1" x14ac:dyDescent="0.2">
      <c r="B49" s="44"/>
      <c r="F49" s="323"/>
      <c r="G49" s="4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AE402"/>
  <sheetViews>
    <sheetView showGridLines="0" topLeftCell="A307" zoomScale="130" zoomScaleNormal="130" workbookViewId="0">
      <selection activeCell="J43" sqref="J43"/>
    </sheetView>
  </sheetViews>
  <sheetFormatPr defaultColWidth="9.109375" defaultRowHeight="10.65" x14ac:dyDescent="0.2"/>
  <cols>
    <col min="1" max="1" width="9.33203125" style="67" bestFit="1" customWidth="1"/>
    <col min="2" max="2" width="6.5546875" style="44" customWidth="1"/>
    <col min="3" max="3" width="9.33203125" style="44" customWidth="1"/>
    <col min="4" max="4" width="9.6640625" style="44" customWidth="1"/>
    <col min="5" max="5" width="10.5546875" style="44" customWidth="1"/>
    <col min="6" max="6" width="9.5546875" style="44" customWidth="1"/>
    <col min="7" max="7" width="10.33203125" style="44" customWidth="1"/>
    <col min="8" max="8" width="9.109375" style="44" customWidth="1"/>
    <col min="9" max="10" width="8.6640625" style="44" customWidth="1"/>
    <col min="11" max="11" width="11" style="44" customWidth="1"/>
    <col min="12" max="13" width="8.6640625" style="44" customWidth="1"/>
    <col min="14" max="14" width="9.33203125" style="44" bestFit="1" customWidth="1"/>
    <col min="15" max="15" width="10.5546875" style="44" bestFit="1" customWidth="1"/>
    <col min="16" max="16" width="13" style="44" bestFit="1" customWidth="1"/>
    <col min="17" max="17" width="11.109375" style="44" bestFit="1" customWidth="1"/>
    <col min="18" max="18" width="15.44140625" style="44" bestFit="1" customWidth="1"/>
    <col min="19" max="19" width="13.44140625" style="44" bestFit="1" customWidth="1"/>
    <col min="20" max="21" width="9.33203125" style="44" bestFit="1" customWidth="1"/>
    <col min="22" max="16384" width="9.109375" style="44"/>
  </cols>
  <sheetData>
    <row r="1" spans="1:20" x14ac:dyDescent="0.2">
      <c r="Q1" s="49"/>
      <c r="R1" s="49"/>
      <c r="S1" s="49"/>
      <c r="T1" s="49"/>
    </row>
    <row r="2" spans="1:20" x14ac:dyDescent="0.2">
      <c r="B2" s="68" t="s">
        <v>610</v>
      </c>
      <c r="L2" s="172"/>
      <c r="M2" s="172"/>
      <c r="Q2" s="49"/>
      <c r="R2" s="49"/>
      <c r="S2" s="49"/>
      <c r="T2" s="49"/>
    </row>
    <row r="3" spans="1:20" x14ac:dyDescent="0.2">
      <c r="B3" s="430" t="s">
        <v>611</v>
      </c>
      <c r="C3" s="436"/>
      <c r="D3" s="447">
        <v>0</v>
      </c>
      <c r="E3" s="448"/>
      <c r="F3" s="450">
        <v>5</v>
      </c>
      <c r="G3" s="448"/>
      <c r="H3" s="450">
        <v>10</v>
      </c>
      <c r="I3" s="448"/>
      <c r="J3" s="447">
        <v>15</v>
      </c>
      <c r="K3" s="448"/>
      <c r="L3" s="445"/>
      <c r="M3" s="445"/>
      <c r="Q3" s="49"/>
      <c r="R3" s="49"/>
      <c r="S3" s="49"/>
      <c r="T3" s="49"/>
    </row>
    <row r="4" spans="1:20" x14ac:dyDescent="0.2">
      <c r="B4" s="432"/>
      <c r="C4" s="446"/>
      <c r="D4" s="69" t="s">
        <v>702</v>
      </c>
      <c r="E4" s="69" t="s">
        <v>703</v>
      </c>
      <c r="F4" s="70" t="s">
        <v>702</v>
      </c>
      <c r="G4" s="70" t="s">
        <v>703</v>
      </c>
      <c r="H4" s="70" t="s">
        <v>702</v>
      </c>
      <c r="I4" s="70" t="s">
        <v>703</v>
      </c>
      <c r="J4" s="69" t="s">
        <v>702</v>
      </c>
      <c r="K4" s="70" t="s">
        <v>703</v>
      </c>
      <c r="L4" s="384"/>
      <c r="M4" s="384"/>
      <c r="Q4" s="49"/>
      <c r="R4" s="49"/>
      <c r="S4" s="49"/>
      <c r="T4" s="49"/>
    </row>
    <row r="5" spans="1:20" ht="12.55" x14ac:dyDescent="0.2">
      <c r="B5" s="71" t="s">
        <v>871</v>
      </c>
      <c r="C5" s="72"/>
      <c r="D5" s="73">
        <f>HLOOKUP(D$3,BM,2)/IF(D$3&lt;=D/100,zte,zgt)*100</f>
        <v>0</v>
      </c>
      <c r="E5" s="73">
        <f>-HLOOKUP(D$3,BM,2)/IF(D$3&lt;=D/100,zbe,zgb)*100</f>
        <v>0</v>
      </c>
      <c r="F5" s="74">
        <f>HLOOKUP(F3,BM,2)/IF(F3&lt;=D/100,zte,zgt)*100</f>
        <v>43.745256777115031</v>
      </c>
      <c r="G5" s="74">
        <f>-HLOOKUP(F3,BM,2)/IF(F3&lt;=D/100,zbe,zgb)*100</f>
        <v>-39.658329334140184</v>
      </c>
      <c r="H5" s="74">
        <f>HLOOKUP(H3,BM,2)/IF(H3&lt;=D/100,zte,zgt)*100</f>
        <v>70.11561849138198</v>
      </c>
      <c r="I5" s="74">
        <f>-HLOOKUP(H3,BM,2)/IF(H3&lt;=D/100,zbe,zgb)*100</f>
        <v>-63.565023832545883</v>
      </c>
      <c r="J5" s="73">
        <f>HLOOKUP(J3,BM,2)/IF(J3&lt;=D/100,zte,zgt)*100</f>
        <v>79.170977749466488</v>
      </c>
      <c r="K5" s="74">
        <f>-HLOOKUP(J3,BM,2)/IF(J3&lt;=D/100,zbe,zgb)*100</f>
        <v>-71.774380598373384</v>
      </c>
      <c r="L5" s="333"/>
      <c r="M5" s="333"/>
      <c r="Q5" s="49"/>
      <c r="R5" s="49"/>
      <c r="S5" s="49"/>
      <c r="T5" s="49"/>
    </row>
    <row r="6" spans="1:20" ht="12.55" x14ac:dyDescent="0.2">
      <c r="B6" s="75" t="s">
        <v>872</v>
      </c>
      <c r="C6" s="76"/>
      <c r="D6" s="77">
        <f>HLOOKUP(D$3,BM,3)/IF(D$3&lt;=D/100,zte,zgt)*100</f>
        <v>0.38607142857142857</v>
      </c>
      <c r="E6" s="77">
        <f>-HLOOKUP(D$3,BM,3)/IF(D$3&lt;=D/100,zbe,zgb)*100</f>
        <v>-0.38607142857142857</v>
      </c>
      <c r="F6" s="78">
        <f>HLOOKUP(F$3,BM,3)/IF(F4&lt;=D/100,zte,zgt)*100</f>
        <v>32.335429680025932</v>
      </c>
      <c r="G6" s="78">
        <f>-HLOOKUP(F$3,BM,3)/IF(F4&lt;=D/100,zbe,zgb)*100</f>
        <v>-29.314472331141062</v>
      </c>
      <c r="H6" s="78">
        <f>HLOOKUP(H$3,BM,3)/IF(H4&lt;=D/100,zte,zgt)*100</f>
        <v>52.209302442944463</v>
      </c>
      <c r="I6" s="78">
        <f>-HLOOKUP(H$3,BM,3)/IF(H4&lt;=D/100,zbe,zgb)*100</f>
        <v>-47.331616342716352</v>
      </c>
      <c r="J6" s="77">
        <f>HLOOKUP(J$3,BM,3)/IF(J4&lt;=D/100,zte,zgt)*100</f>
        <v>59.881815729153878</v>
      </c>
      <c r="K6" s="78">
        <f>-HLOOKUP(J$3,BM,3)/IF(J4&lt;=D/100,zbe,zgb)*100</f>
        <v>-54.287320369678206</v>
      </c>
      <c r="L6" s="333"/>
      <c r="M6" s="333"/>
      <c r="Q6" s="49"/>
      <c r="R6" s="49"/>
      <c r="S6" s="49"/>
      <c r="T6" s="49"/>
    </row>
    <row r="7" spans="1:20" x14ac:dyDescent="0.2">
      <c r="B7" s="75" t="s">
        <v>806</v>
      </c>
      <c r="C7" s="76"/>
      <c r="D7" s="77">
        <f>HLOOKUP(D$3,BM,4)/IF(D$3&lt;=D/100,zcte,zct)*100</f>
        <v>0.24417374936926717</v>
      </c>
      <c r="E7" s="77">
        <f>-HLOOKUP(D$3,BM,4)/IF(D$3&lt;=D/100,zcbe,zcb)*100</f>
        <v>-0.52777498801345846</v>
      </c>
      <c r="F7" s="78">
        <f>HLOOKUP(F$3,BM,4)/IF(F$3&lt;=D/100,zcte,zct)*100</f>
        <v>6.2520106176290158</v>
      </c>
      <c r="G7" s="78">
        <f>-HLOOKUP(F$3,BM,4)/IF(F$3&lt;=D/100,zcbe,zcb)*100</f>
        <v>-17.250287524465538</v>
      </c>
      <c r="H7" s="78">
        <f>HLOOKUP(H$3,BM,4)/IF(H$3&lt;=D/100,zcte,zct)*100</f>
        <v>10.129870504430457</v>
      </c>
      <c r="I7" s="78">
        <f>-HLOOKUP(H$3,BM,4)/IF(H$3&lt;=D/100,zcbe,zcb)*100</f>
        <v>-27.94991715054012</v>
      </c>
      <c r="J7" s="77">
        <f>HLOOKUP(J$3,BM,4)/IF(J$3&lt;=D/100,zcte,zct)*100</f>
        <v>11.391337874061522</v>
      </c>
      <c r="K7" s="78">
        <f>-HLOOKUP(J$3,BM,4)/IF(J$3&lt;=D/100,zcbe,zcb)*100</f>
        <v>-31.430505422016779</v>
      </c>
      <c r="L7" s="333"/>
      <c r="M7" s="333"/>
      <c r="Q7" s="49"/>
      <c r="R7" s="49"/>
      <c r="S7" s="49"/>
      <c r="T7" s="49"/>
    </row>
    <row r="8" spans="1:20" ht="12.55" x14ac:dyDescent="0.2">
      <c r="B8" s="75" t="s">
        <v>873</v>
      </c>
      <c r="C8" s="76"/>
      <c r="D8" s="77">
        <f>HLOOKUP(D$3,BM,5)/IF(D$3&lt;=D/100,zcte,zct)*100</f>
        <v>0.66076887016638797</v>
      </c>
      <c r="E8" s="77">
        <f>-HLOOKUP(D$3,BM,5)/IF(D$3&lt;=D/100,zcbe,zcb)*100</f>
        <v>-1.4282341301330141</v>
      </c>
      <c r="F8" s="78">
        <f>HLOOKUP(F$3,BM,5)/IF(F$3&lt;=D/100,zcte,zct)*100</f>
        <v>9.139159286937673</v>
      </c>
      <c r="G8" s="78">
        <f>-HLOOKUP(F$3,BM,5)/IF(F$3&lt;=D/100,zcbe,zcb)*100</f>
        <v>-25.21638798677408</v>
      </c>
      <c r="H8" s="78">
        <f>HLOOKUP(H$3,BM,5)/IF(H$3&lt;=D/100,zcte,zct)*100</f>
        <v>13.245560086374313</v>
      </c>
      <c r="I8" s="78">
        <f>-HLOOKUP(H$3,BM,5)/IF(H$3&lt;=D/100,zcbe,zcb)*100</f>
        <v>-36.546598188470917</v>
      </c>
      <c r="J8" s="77">
        <f>HLOOKUP(J$3,BM,5)/IF(J$3&lt;=D/100,zcte,zct)*100</f>
        <v>14.457071540542174</v>
      </c>
      <c r="K8" s="78">
        <f>-HLOOKUP(J$3,BM,5)/IF(J$3&lt;=D/100,zcbe,zcb)*100</f>
        <v>-39.889350176871176</v>
      </c>
      <c r="L8" s="333"/>
      <c r="M8" s="333"/>
      <c r="Q8" s="49"/>
      <c r="R8" s="49"/>
      <c r="S8" s="49"/>
      <c r="T8" s="49"/>
    </row>
    <row r="9" spans="1:20" x14ac:dyDescent="0.2">
      <c r="D9" s="79"/>
      <c r="E9" s="79"/>
      <c r="L9" s="172"/>
      <c r="M9" s="172"/>
      <c r="Q9" s="49"/>
      <c r="T9" s="49"/>
    </row>
    <row r="10" spans="1:20" x14ac:dyDescent="0.2">
      <c r="B10" s="68" t="s">
        <v>613</v>
      </c>
      <c r="E10" s="83" t="s">
        <v>1069</v>
      </c>
      <c r="L10" s="172"/>
      <c r="M10" s="172"/>
      <c r="Q10" s="49"/>
      <c r="T10" s="49"/>
    </row>
    <row r="11" spans="1:20" x14ac:dyDescent="0.2">
      <c r="A11" s="67">
        <v>1</v>
      </c>
      <c r="B11" s="44" t="s">
        <v>719</v>
      </c>
    </row>
    <row r="12" spans="1:20" x14ac:dyDescent="0.2">
      <c r="A12" s="67" t="s">
        <v>11</v>
      </c>
      <c r="B12" s="44" t="s">
        <v>614</v>
      </c>
    </row>
    <row r="13" spans="1:20" x14ac:dyDescent="0.2">
      <c r="B13" s="44" t="s">
        <v>701</v>
      </c>
      <c r="E13" s="80"/>
    </row>
    <row r="14" spans="1:20" x14ac:dyDescent="0.2">
      <c r="B14" s="44" t="s">
        <v>615</v>
      </c>
      <c r="D14" s="44" t="s">
        <v>616</v>
      </c>
      <c r="E14" s="49">
        <v>2E-3</v>
      </c>
    </row>
    <row r="15" spans="1:20" x14ac:dyDescent="0.2">
      <c r="B15" s="44" t="s">
        <v>535</v>
      </c>
      <c r="D15" s="49" t="s">
        <v>617</v>
      </c>
      <c r="E15" s="49">
        <v>0.17</v>
      </c>
    </row>
    <row r="16" spans="1:20" ht="12.55" x14ac:dyDescent="0.2">
      <c r="C16" s="44" t="s">
        <v>618</v>
      </c>
      <c r="D16" s="44" t="s">
        <v>1058</v>
      </c>
      <c r="I16" s="81"/>
      <c r="J16" s="81"/>
      <c r="K16" s="81"/>
      <c r="L16" s="81"/>
      <c r="M16" s="81"/>
      <c r="N16" s="81"/>
    </row>
    <row r="17" spans="1:16" x14ac:dyDescent="0.2">
      <c r="B17" s="80"/>
      <c r="C17" s="44" t="s">
        <v>717</v>
      </c>
      <c r="D17" s="82"/>
      <c r="E17" s="82"/>
      <c r="F17" s="82"/>
      <c r="G17" s="82"/>
      <c r="H17" s="82"/>
      <c r="I17" s="81"/>
      <c r="J17" s="81"/>
      <c r="K17" s="81"/>
      <c r="L17" s="81"/>
      <c r="M17" s="81"/>
      <c r="N17" s="81"/>
      <c r="O17" s="83"/>
      <c r="P17" s="83"/>
    </row>
    <row r="18" spans="1:16" x14ac:dyDescent="0.2">
      <c r="B18" s="82"/>
      <c r="C18" s="84" t="s">
        <v>620</v>
      </c>
      <c r="D18" s="85">
        <v>0</v>
      </c>
      <c r="E18" s="85">
        <v>5</v>
      </c>
      <c r="F18" s="86">
        <v>10</v>
      </c>
      <c r="G18" s="86">
        <v>15</v>
      </c>
      <c r="H18" s="87" t="s">
        <v>623</v>
      </c>
      <c r="I18" s="87" t="s">
        <v>622</v>
      </c>
      <c r="J18" s="87" t="s">
        <v>624</v>
      </c>
      <c r="L18" s="81"/>
      <c r="M18" s="81"/>
      <c r="N18" s="81"/>
    </row>
    <row r="19" spans="1:16" x14ac:dyDescent="0.2">
      <c r="B19" s="449" t="s">
        <v>619</v>
      </c>
      <c r="C19" s="88">
        <v>1</v>
      </c>
      <c r="D19" s="89">
        <f t="shared" ref="D19:G21" si="0">Pj/1000*EXP(-(K*D$18+mu*HLOOKUP(D$18,radian,$C19+1)))</f>
        <v>390.55745330361566</v>
      </c>
      <c r="E19" s="89">
        <f t="shared" si="0"/>
        <v>385.19992604085974</v>
      </c>
      <c r="F19" s="89">
        <f t="shared" si="0"/>
        <v>377.85239324165309</v>
      </c>
      <c r="G19" s="89">
        <f t="shared" si="0"/>
        <v>368.6602475493641</v>
      </c>
      <c r="H19" s="90">
        <f>ABS(D19-G19)/(spane/2)*2*10</f>
        <v>29.19627433900208</v>
      </c>
      <c r="I19" s="90">
        <f>Eps*Aps*100*slip/(2*(D19-G19)*10000000)</f>
        <v>8.2202269102326557</v>
      </c>
      <c r="J19" s="90">
        <f>H19*I19/10</f>
        <v>24.000000000000007</v>
      </c>
      <c r="L19" s="81"/>
      <c r="M19" s="81"/>
      <c r="N19" s="81"/>
    </row>
    <row r="20" spans="1:16" x14ac:dyDescent="0.2">
      <c r="B20" s="449"/>
      <c r="C20" s="88">
        <v>2</v>
      </c>
      <c r="D20" s="89">
        <f t="shared" si="0"/>
        <v>390.45819589696129</v>
      </c>
      <c r="E20" s="89">
        <f t="shared" si="0"/>
        <v>381.69182189904734</v>
      </c>
      <c r="F20" s="89">
        <f t="shared" si="0"/>
        <v>366.41406306917543</v>
      </c>
      <c r="G20" s="89">
        <f t="shared" si="0"/>
        <v>345.52103003415391</v>
      </c>
      <c r="H20" s="90">
        <f>ABS(D20-G20)/(spane/2)*2*10</f>
        <v>59.916221150409832</v>
      </c>
      <c r="I20" s="90">
        <f>Eps*Aps*100*slip/(2*(D20-G20)*10000000)</f>
        <v>4.00559306631704</v>
      </c>
      <c r="J20" s="90">
        <f>H20*I20/10</f>
        <v>24</v>
      </c>
      <c r="L20" s="81"/>
      <c r="M20" s="81"/>
      <c r="N20" s="81"/>
    </row>
    <row r="21" spans="1:16" x14ac:dyDescent="0.2">
      <c r="B21" s="449"/>
      <c r="C21" s="88">
        <v>3</v>
      </c>
      <c r="D21" s="89">
        <f t="shared" si="0"/>
        <v>390.55745330361566</v>
      </c>
      <c r="E21" s="89">
        <f t="shared" si="0"/>
        <v>385.19992604085974</v>
      </c>
      <c r="F21" s="89">
        <f t="shared" si="0"/>
        <v>377.85239324165309</v>
      </c>
      <c r="G21" s="89">
        <f t="shared" si="0"/>
        <v>368.6602475493641</v>
      </c>
      <c r="H21" s="90">
        <f>ABS(D21-G21)/(spane/2)*2*10</f>
        <v>29.19627433900208</v>
      </c>
      <c r="I21" s="90">
        <f>Eps*Aps*100*slip/(2*(D21-G21)*10000000)</f>
        <v>8.2202269102326557</v>
      </c>
      <c r="J21" s="90">
        <f>H21*I21/10</f>
        <v>24.000000000000007</v>
      </c>
      <c r="L21" s="81"/>
      <c r="M21" s="81"/>
      <c r="N21" s="81"/>
    </row>
    <row r="22" spans="1:16" x14ac:dyDescent="0.2">
      <c r="A22" s="67" t="s">
        <v>428</v>
      </c>
      <c r="B22" s="44" t="s">
        <v>625</v>
      </c>
      <c r="E22" s="80">
        <v>6</v>
      </c>
      <c r="F22" s="44" t="s">
        <v>42</v>
      </c>
    </row>
    <row r="23" spans="1:16" x14ac:dyDescent="0.2">
      <c r="C23" s="44" t="s">
        <v>718</v>
      </c>
      <c r="D23" s="82"/>
      <c r="E23" s="82"/>
      <c r="F23" s="82"/>
      <c r="G23" s="82"/>
      <c r="H23" s="82"/>
    </row>
    <row r="24" spans="1:16" ht="21.3" x14ac:dyDescent="0.2">
      <c r="C24" s="91" t="s">
        <v>629</v>
      </c>
      <c r="D24" s="92">
        <f>D18</f>
        <v>0</v>
      </c>
      <c r="E24" s="92">
        <f>E18</f>
        <v>5</v>
      </c>
      <c r="F24" s="92">
        <f>F18</f>
        <v>10</v>
      </c>
      <c r="G24" s="92">
        <f>G18</f>
        <v>15</v>
      </c>
      <c r="H24" s="92" t="s">
        <v>677</v>
      </c>
    </row>
    <row r="25" spans="1:16" x14ac:dyDescent="0.2">
      <c r="B25" s="449" t="s">
        <v>619</v>
      </c>
      <c r="C25" s="93">
        <f>C19</f>
        <v>1</v>
      </c>
      <c r="D25" s="94">
        <f t="shared" ref="D25:G27" si="1">IF(D$24&lt;$I19,D19-$J19*($I19-D$24)/$I19,D19)</f>
        <v>366.55745330361566</v>
      </c>
      <c r="E25" s="94">
        <f t="shared" si="1"/>
        <v>375.79806321036079</v>
      </c>
      <c r="F25" s="94">
        <f t="shared" si="1"/>
        <v>377.85239324165309</v>
      </c>
      <c r="G25" s="94">
        <f t="shared" si="1"/>
        <v>368.6602475493641</v>
      </c>
      <c r="H25" s="95">
        <f>AVERAGE(D25:G25)</f>
        <v>372.21703932624843</v>
      </c>
    </row>
    <row r="26" spans="1:16" x14ac:dyDescent="0.2">
      <c r="B26" s="449"/>
      <c r="C26" s="96">
        <f>C20</f>
        <v>2</v>
      </c>
      <c r="D26" s="97">
        <f t="shared" si="1"/>
        <v>366.45819589696129</v>
      </c>
      <c r="E26" s="97">
        <f t="shared" si="1"/>
        <v>381.69182189904734</v>
      </c>
      <c r="F26" s="97">
        <f t="shared" si="1"/>
        <v>366.41406306917543</v>
      </c>
      <c r="G26" s="97">
        <f t="shared" si="1"/>
        <v>345.52103003415391</v>
      </c>
      <c r="H26" s="95">
        <f>AVERAGE(D26:G26)</f>
        <v>365.02127772483448</v>
      </c>
    </row>
    <row r="27" spans="1:16" x14ac:dyDescent="0.2">
      <c r="B27" s="449"/>
      <c r="C27" s="96">
        <f>C21</f>
        <v>3</v>
      </c>
      <c r="D27" s="97">
        <f t="shared" si="1"/>
        <v>366.55745330361566</v>
      </c>
      <c r="E27" s="97">
        <f t="shared" si="1"/>
        <v>375.79806321036079</v>
      </c>
      <c r="F27" s="97">
        <f t="shared" si="1"/>
        <v>377.85239324165309</v>
      </c>
      <c r="G27" s="97">
        <f t="shared" si="1"/>
        <v>368.6602475493641</v>
      </c>
      <c r="H27" s="95">
        <f>AVERAGE(D27:G27)</f>
        <v>372.21703932624843</v>
      </c>
    </row>
    <row r="28" spans="1:16" x14ac:dyDescent="0.2">
      <c r="C28" s="99" t="s">
        <v>704</v>
      </c>
      <c r="D28" s="98">
        <f>SUM(D25:D27)</f>
        <v>1099.5731025041925</v>
      </c>
      <c r="E28" s="98">
        <f>SUM(E25:E27)</f>
        <v>1133.2879483197689</v>
      </c>
      <c r="F28" s="98">
        <f>SUM(F25:F27)</f>
        <v>1122.1188495524816</v>
      </c>
      <c r="G28" s="98">
        <f>SUM(G25:G27)</f>
        <v>1082.8415251328822</v>
      </c>
      <c r="H28" s="78"/>
    </row>
    <row r="29" spans="1:16" x14ac:dyDescent="0.2">
      <c r="C29" s="44" t="s">
        <v>626</v>
      </c>
      <c r="F29" s="100">
        <f>AVERAGE(H25:H27)</f>
        <v>369.81845212577713</v>
      </c>
      <c r="G29" s="68" t="s">
        <v>621</v>
      </c>
      <c r="H29" s="385"/>
    </row>
    <row r="30" spans="1:16" ht="12.55" x14ac:dyDescent="0.2">
      <c r="C30" s="44" t="s">
        <v>675</v>
      </c>
      <c r="F30" s="68">
        <f>F29/Aps*1000</f>
        <v>12327.281737525904</v>
      </c>
      <c r="G30" s="101" t="s">
        <v>874</v>
      </c>
      <c r="H30" s="102" t="str">
        <f>IF(F30&lt;alfp*fp*10,"Safe","Not Ok")</f>
        <v>Safe</v>
      </c>
    </row>
    <row r="32" spans="1:16" x14ac:dyDescent="0.2">
      <c r="B32" s="44" t="s">
        <v>627</v>
      </c>
    </row>
    <row r="33" spans="2:15" x14ac:dyDescent="0.2">
      <c r="C33" s="103" t="s">
        <v>629</v>
      </c>
      <c r="D33" s="104">
        <f>D24</f>
        <v>0</v>
      </c>
      <c r="E33" s="104">
        <f>E24</f>
        <v>5</v>
      </c>
      <c r="F33" s="104">
        <f>F24</f>
        <v>10</v>
      </c>
      <c r="G33" s="404">
        <f>G24</f>
        <v>15</v>
      </c>
      <c r="H33" s="387"/>
      <c r="O33" s="44" t="s">
        <v>137</v>
      </c>
    </row>
    <row r="34" spans="2:15" x14ac:dyDescent="0.2">
      <c r="B34" s="449" t="s">
        <v>619</v>
      </c>
      <c r="C34" s="96">
        <f>C25</f>
        <v>1</v>
      </c>
      <c r="D34" s="78">
        <f t="shared" ref="D34:G36" si="2">D25*COS(HLOOKUP(spane/2-D$33,radian,$C34+1))</f>
        <v>361.6641530564529</v>
      </c>
      <c r="E34" s="78">
        <f t="shared" si="2"/>
        <v>374.66913619308878</v>
      </c>
      <c r="F34" s="78">
        <f t="shared" si="2"/>
        <v>377.75186541827401</v>
      </c>
      <c r="G34" s="77">
        <f t="shared" si="2"/>
        <v>368.66017186381333</v>
      </c>
      <c r="H34" s="333"/>
    </row>
    <row r="35" spans="2:15" x14ac:dyDescent="0.2">
      <c r="B35" s="449"/>
      <c r="C35" s="96">
        <f>C26</f>
        <v>2</v>
      </c>
      <c r="D35" s="78">
        <f t="shared" si="2"/>
        <v>313.3901841381815</v>
      </c>
      <c r="E35" s="78">
        <f t="shared" si="2"/>
        <v>369.02426690137651</v>
      </c>
      <c r="F35" s="78">
        <f t="shared" si="2"/>
        <v>365.33159844592831</v>
      </c>
      <c r="G35" s="77">
        <f t="shared" si="2"/>
        <v>345.52024186889224</v>
      </c>
      <c r="H35" s="333"/>
    </row>
    <row r="36" spans="2:15" x14ac:dyDescent="0.2">
      <c r="B36" s="449"/>
      <c r="C36" s="96">
        <f>C27</f>
        <v>3</v>
      </c>
      <c r="D36" s="78">
        <f t="shared" si="2"/>
        <v>361.6641530564529</v>
      </c>
      <c r="E36" s="78">
        <f t="shared" si="2"/>
        <v>374.66913619308878</v>
      </c>
      <c r="F36" s="78">
        <f t="shared" si="2"/>
        <v>377.75186541827401</v>
      </c>
      <c r="G36" s="77">
        <f t="shared" si="2"/>
        <v>368.66017186381333</v>
      </c>
      <c r="H36" s="333"/>
    </row>
    <row r="37" spans="2:15" x14ac:dyDescent="0.2">
      <c r="C37" s="105" t="s">
        <v>704</v>
      </c>
      <c r="D37" s="106">
        <f>SUM(D34:D36)</f>
        <v>1036.7184902510874</v>
      </c>
      <c r="E37" s="106">
        <f>SUM(E34:E36)</f>
        <v>1118.3625392875542</v>
      </c>
      <c r="F37" s="106">
        <f>SUM(F34:F36)</f>
        <v>1120.8353292824763</v>
      </c>
      <c r="G37" s="147">
        <f>SUM(G34:G36)</f>
        <v>1082.8405855965188</v>
      </c>
      <c r="H37" s="386"/>
      <c r="I37" s="68" t="s">
        <v>621</v>
      </c>
    </row>
    <row r="38" spans="2:15" x14ac:dyDescent="0.2">
      <c r="H38" s="172"/>
    </row>
    <row r="39" spans="2:15" x14ac:dyDescent="0.2">
      <c r="B39" s="44" t="s">
        <v>742</v>
      </c>
      <c r="H39" s="172"/>
    </row>
    <row r="40" spans="2:15" x14ac:dyDescent="0.2">
      <c r="C40" s="103" t="s">
        <v>629</v>
      </c>
      <c r="D40" s="104">
        <f>D33</f>
        <v>0</v>
      </c>
      <c r="E40" s="104">
        <f>E33</f>
        <v>5</v>
      </c>
      <c r="F40" s="104">
        <f>F33</f>
        <v>10</v>
      </c>
      <c r="G40" s="404">
        <f>G33</f>
        <v>15</v>
      </c>
      <c r="H40" s="387"/>
      <c r="O40" s="44" t="s">
        <v>136</v>
      </c>
    </row>
    <row r="41" spans="2:15" x14ac:dyDescent="0.2">
      <c r="B41" s="449" t="s">
        <v>619</v>
      </c>
      <c r="C41" s="96">
        <f>C34</f>
        <v>1</v>
      </c>
      <c r="D41" s="78">
        <f t="shared" ref="D41:G43" si="3">D25*SIN(HLOOKUP(spane/2-D$40,radian,$C41+1))</f>
        <v>59.694279176408521</v>
      </c>
      <c r="E41" s="78">
        <f t="shared" si="3"/>
        <v>29.107090149704273</v>
      </c>
      <c r="F41" s="78">
        <f t="shared" si="3"/>
        <v>8.7154604846233035</v>
      </c>
      <c r="G41" s="77">
        <f t="shared" si="3"/>
        <v>0.23622976538755042</v>
      </c>
      <c r="H41" s="333"/>
    </row>
    <row r="42" spans="2:15" x14ac:dyDescent="0.2">
      <c r="B42" s="449"/>
      <c r="C42" s="96">
        <f>C35</f>
        <v>2</v>
      </c>
      <c r="D42" s="78">
        <f t="shared" si="3"/>
        <v>189.94262772187903</v>
      </c>
      <c r="E42" s="78">
        <f t="shared" si="3"/>
        <v>97.517882167916753</v>
      </c>
      <c r="F42" s="78">
        <f t="shared" si="3"/>
        <v>28.144072054424345</v>
      </c>
      <c r="G42" s="77">
        <f t="shared" si="3"/>
        <v>0.73800726615595302</v>
      </c>
      <c r="H42" s="333"/>
    </row>
    <row r="43" spans="2:15" x14ac:dyDescent="0.2">
      <c r="B43" s="449"/>
      <c r="C43" s="96">
        <f>C36</f>
        <v>3</v>
      </c>
      <c r="D43" s="78">
        <f t="shared" si="3"/>
        <v>59.694279176408521</v>
      </c>
      <c r="E43" s="78">
        <f t="shared" si="3"/>
        <v>29.107090149704273</v>
      </c>
      <c r="F43" s="78">
        <f t="shared" si="3"/>
        <v>8.7154604846233035</v>
      </c>
      <c r="G43" s="77">
        <f t="shared" si="3"/>
        <v>0.23622976538755042</v>
      </c>
      <c r="H43" s="333"/>
    </row>
    <row r="44" spans="2:15" x14ac:dyDescent="0.2">
      <c r="C44" s="105" t="s">
        <v>704</v>
      </c>
      <c r="D44" s="106">
        <f>SUM(D41:D43)</f>
        <v>309.33118607469606</v>
      </c>
      <c r="E44" s="106">
        <f>SUM(E41:E43)</f>
        <v>155.73206246732531</v>
      </c>
      <c r="F44" s="106">
        <f>SUM(F41:F43)</f>
        <v>45.574993023670956</v>
      </c>
      <c r="G44" s="147">
        <f>SUM(G41:G43)</f>
        <v>1.2104667969310539</v>
      </c>
      <c r="H44" s="386"/>
      <c r="I44" s="68" t="s">
        <v>621</v>
      </c>
    </row>
    <row r="45" spans="2:15" x14ac:dyDescent="0.2">
      <c r="H45" s="172"/>
    </row>
    <row r="46" spans="2:15" x14ac:dyDescent="0.2">
      <c r="B46" s="68" t="s">
        <v>628</v>
      </c>
      <c r="C46" s="68"/>
      <c r="H46" s="172"/>
    </row>
    <row r="47" spans="2:15" x14ac:dyDescent="0.2">
      <c r="B47" s="107" t="s">
        <v>629</v>
      </c>
      <c r="C47" s="108"/>
      <c r="D47" s="109">
        <f>D33</f>
        <v>0</v>
      </c>
      <c r="E47" s="109">
        <f>E33</f>
        <v>5</v>
      </c>
      <c r="F47" s="109">
        <f>F33</f>
        <v>10</v>
      </c>
      <c r="G47" s="405">
        <f>G33</f>
        <v>15</v>
      </c>
      <c r="H47" s="387"/>
    </row>
    <row r="48" spans="2:15" x14ac:dyDescent="0.2">
      <c r="B48" s="107" t="s">
        <v>808</v>
      </c>
      <c r="C48" s="108"/>
      <c r="D48" s="110">
        <f>D37</f>
        <v>1036.7184902510874</v>
      </c>
      <c r="E48" s="110">
        <f>E37</f>
        <v>1118.3625392875542</v>
      </c>
      <c r="F48" s="110">
        <f>F37</f>
        <v>1120.8353292824763</v>
      </c>
      <c r="G48" s="140">
        <f>G37</f>
        <v>1082.8405855965188</v>
      </c>
      <c r="H48" s="333"/>
    </row>
    <row r="49" spans="1:15" ht="12.55" x14ac:dyDescent="0.2">
      <c r="B49" s="107" t="s">
        <v>875</v>
      </c>
      <c r="C49" s="108"/>
      <c r="D49" s="110">
        <f>IF(D47&lt;=D/100,aeg,Ag)</f>
        <v>12600</v>
      </c>
      <c r="E49" s="110">
        <f>IF(E47&lt;=D/100,aeg,Ag)</f>
        <v>7786.8233139951662</v>
      </c>
      <c r="F49" s="110">
        <f>IF(F47&lt;=D/100,aeg,Ag)</f>
        <v>7786.8233139951662</v>
      </c>
      <c r="G49" s="140">
        <f>IF(G47&lt;=D/100,aeg,Ag)</f>
        <v>7786.8233139951662</v>
      </c>
      <c r="H49" s="333"/>
    </row>
    <row r="50" spans="1:15" x14ac:dyDescent="0.2">
      <c r="B50" s="107" t="s">
        <v>807</v>
      </c>
      <c r="C50" s="108"/>
      <c r="D50" s="110">
        <f>D48/D49*1000</f>
        <v>82.279245258022812</v>
      </c>
      <c r="E50" s="110">
        <f t="shared" ref="E50:G50" si="4">E48/E49*1000</f>
        <v>143.6224368000664</v>
      </c>
      <c r="F50" s="110">
        <f t="shared" si="4"/>
        <v>143.93999761982684</v>
      </c>
      <c r="G50" s="140">
        <f t="shared" si="4"/>
        <v>139.06063383386936</v>
      </c>
      <c r="H50" s="333"/>
    </row>
    <row r="51" spans="1:15" x14ac:dyDescent="0.2">
      <c r="B51" s="107" t="s">
        <v>809</v>
      </c>
      <c r="C51" s="108"/>
      <c r="D51" s="110">
        <f>IF(D47&lt;=D/100,cge,ygb)</f>
        <v>90</v>
      </c>
      <c r="E51" s="110">
        <f>IF(E47&lt;=D/100,cge,ygb)</f>
        <v>85.589836276619067</v>
      </c>
      <c r="F51" s="110">
        <f>IF(F47&lt;=D/100,cge,ygb)</f>
        <v>85.589836276619067</v>
      </c>
      <c r="G51" s="140">
        <f>IF(G47&lt;=D/100,cge,ygb)</f>
        <v>85.589836276619067</v>
      </c>
      <c r="H51" s="333"/>
    </row>
    <row r="52" spans="1:15" x14ac:dyDescent="0.2">
      <c r="B52" s="107" t="s">
        <v>810</v>
      </c>
      <c r="C52" s="108"/>
      <c r="D52" s="110">
        <f>HLOOKUP(tspan/2-D47,first,no+2)</f>
        <v>90</v>
      </c>
      <c r="E52" s="110">
        <f>HLOOKUP(tspan/2-E47,first,no+2)</f>
        <v>61.359306249733002</v>
      </c>
      <c r="F52" s="110">
        <f>HLOOKUP(tspan/2-F47,first,no+2)</f>
        <v>45.339826562433252</v>
      </c>
      <c r="G52" s="140">
        <f>HLOOKUP(tspan/2-G47,first,no+2)</f>
        <v>40</v>
      </c>
      <c r="H52" s="333"/>
    </row>
    <row r="53" spans="1:15" x14ac:dyDescent="0.2">
      <c r="B53" s="107" t="s">
        <v>811</v>
      </c>
      <c r="C53" s="108"/>
      <c r="D53" s="110">
        <f>D51-D52</f>
        <v>0</v>
      </c>
      <c r="E53" s="110">
        <f t="shared" ref="E53:G53" si="5">E51-E52</f>
        <v>24.230530026886065</v>
      </c>
      <c r="F53" s="110">
        <f t="shared" si="5"/>
        <v>40.250009714185815</v>
      </c>
      <c r="G53" s="140">
        <f t="shared" si="5"/>
        <v>45.589836276619067</v>
      </c>
      <c r="H53" s="333"/>
    </row>
    <row r="54" spans="1:15" ht="12.55" x14ac:dyDescent="0.2">
      <c r="B54" s="107" t="s">
        <v>876</v>
      </c>
      <c r="C54" s="108"/>
      <c r="D54" s="110">
        <f>IF(D47&lt;=D/100,zbe,zgt)</f>
        <v>378000</v>
      </c>
      <c r="E54" s="110">
        <f>IF(E47&lt;=D/100,zbe,zgt)</f>
        <v>292189.65368616144</v>
      </c>
      <c r="F54" s="110">
        <f>IF(F47&lt;=D/100,zbe,zgt)</f>
        <v>292189.65368616144</v>
      </c>
      <c r="G54" s="140">
        <f>IF(G47&lt;=D/100,zbe,zgt)</f>
        <v>292189.65368616144</v>
      </c>
      <c r="H54" s="333"/>
    </row>
    <row r="55" spans="1:15" ht="12.55" x14ac:dyDescent="0.2">
      <c r="B55" s="107" t="s">
        <v>877</v>
      </c>
      <c r="C55" s="108"/>
      <c r="D55" s="110">
        <f>IF(D47&lt;=D/100,zte,zgb)</f>
        <v>378000</v>
      </c>
      <c r="E55" s="110">
        <f>IF(E47&lt;=D/100,zte,zgb)</f>
        <v>322300.8039603433</v>
      </c>
      <c r="F55" s="110">
        <f>IF(F47&lt;=D/100,zte,zgb)</f>
        <v>322300.8039603433</v>
      </c>
      <c r="G55" s="140">
        <f>IF(G47&lt;=D/100,zte,zgb)</f>
        <v>322300.8039603433</v>
      </c>
      <c r="H55" s="333"/>
      <c r="O55" s="44" t="s">
        <v>745</v>
      </c>
    </row>
    <row r="56" spans="1:15" x14ac:dyDescent="0.2">
      <c r="B56" s="107" t="s">
        <v>630</v>
      </c>
      <c r="C56" s="108"/>
      <c r="D56" s="110">
        <f>D48*D53/D54*1000</f>
        <v>0</v>
      </c>
      <c r="E56" s="110">
        <f t="shared" ref="E56:G56" si="6">E48*E53/E54*1000</f>
        <v>92.742904299609208</v>
      </c>
      <c r="F56" s="110">
        <f t="shared" si="6"/>
        <v>154.39846114496072</v>
      </c>
      <c r="G56" s="140">
        <f t="shared" si="6"/>
        <v>168.95370656774793</v>
      </c>
      <c r="H56" s="333"/>
    </row>
    <row r="57" spans="1:15" x14ac:dyDescent="0.2">
      <c r="B57" s="107" t="s">
        <v>631</v>
      </c>
      <c r="C57" s="108"/>
      <c r="D57" s="110">
        <f>D48*1000*D53/D55</f>
        <v>0</v>
      </c>
      <c r="E57" s="110">
        <f t="shared" ref="E57:G57" si="7">E48*1000*E53/E55</f>
        <v>84.078341587028433</v>
      </c>
      <c r="F57" s="110">
        <f t="shared" si="7"/>
        <v>139.97369022130403</v>
      </c>
      <c r="G57" s="140">
        <f t="shared" si="7"/>
        <v>153.16910291386611</v>
      </c>
      <c r="H57" s="333"/>
    </row>
    <row r="58" spans="1:15" x14ac:dyDescent="0.2">
      <c r="B58" s="107" t="s">
        <v>632</v>
      </c>
      <c r="C58" s="108"/>
      <c r="D58" s="111">
        <f>D50-D56</f>
        <v>82.279245258022812</v>
      </c>
      <c r="E58" s="111">
        <f t="shared" ref="E58:G58" si="8">E50-E56</f>
        <v>50.879532500457188</v>
      </c>
      <c r="F58" s="111">
        <f t="shared" si="8"/>
        <v>-10.45846352513388</v>
      </c>
      <c r="G58" s="406">
        <f t="shared" si="8"/>
        <v>-29.893072733878569</v>
      </c>
      <c r="H58" s="386"/>
    </row>
    <row r="59" spans="1:15" x14ac:dyDescent="0.2">
      <c r="B59" s="71" t="s">
        <v>633</v>
      </c>
      <c r="C59" s="112"/>
      <c r="D59" s="113">
        <f>D50+D57</f>
        <v>82.279245258022812</v>
      </c>
      <c r="E59" s="113">
        <f t="shared" ref="E59:G59" si="9">E50+E57</f>
        <v>227.70077838709483</v>
      </c>
      <c r="F59" s="113">
        <f t="shared" si="9"/>
        <v>283.91368784113087</v>
      </c>
      <c r="G59" s="179">
        <f t="shared" si="9"/>
        <v>292.2297367477355</v>
      </c>
      <c r="H59" s="386"/>
    </row>
    <row r="60" spans="1:15" x14ac:dyDescent="0.2">
      <c r="H60" s="172"/>
    </row>
    <row r="61" spans="1:15" x14ac:dyDescent="0.2">
      <c r="A61" s="67">
        <v>2</v>
      </c>
      <c r="B61" s="44" t="s">
        <v>636</v>
      </c>
      <c r="H61" s="172"/>
    </row>
    <row r="62" spans="1:15" x14ac:dyDescent="0.2">
      <c r="A62" s="67" t="s">
        <v>11</v>
      </c>
      <c r="B62" s="44" t="s">
        <v>637</v>
      </c>
    </row>
    <row r="63" spans="1:15" x14ac:dyDescent="0.2">
      <c r="B63" s="44" t="s">
        <v>638</v>
      </c>
    </row>
    <row r="64" spans="1:15" x14ac:dyDescent="0.2">
      <c r="B64" s="44" t="s">
        <v>639</v>
      </c>
      <c r="L64" s="172"/>
      <c r="M64" s="172"/>
    </row>
    <row r="65" spans="2:13" ht="12.7" customHeight="1" x14ac:dyDescent="0.2">
      <c r="B65" s="430" t="s">
        <v>640</v>
      </c>
      <c r="C65" s="431"/>
      <c r="D65" s="439">
        <v>0</v>
      </c>
      <c r="E65" s="440"/>
      <c r="F65" s="444">
        <v>5</v>
      </c>
      <c r="G65" s="440"/>
      <c r="H65" s="444">
        <v>10</v>
      </c>
      <c r="I65" s="440"/>
      <c r="J65" s="439">
        <v>15</v>
      </c>
      <c r="K65" s="440"/>
      <c r="L65" s="441"/>
      <c r="M65" s="441"/>
    </row>
    <row r="66" spans="2:13" x14ac:dyDescent="0.2">
      <c r="B66" s="432"/>
      <c r="C66" s="433"/>
      <c r="D66" s="114" t="s">
        <v>702</v>
      </c>
      <c r="E66" s="115" t="s">
        <v>703</v>
      </c>
      <c r="F66" s="115" t="s">
        <v>702</v>
      </c>
      <c r="G66" s="115" t="s">
        <v>703</v>
      </c>
      <c r="H66" s="115" t="s">
        <v>702</v>
      </c>
      <c r="I66" s="115" t="s">
        <v>703</v>
      </c>
      <c r="J66" s="114" t="s">
        <v>702</v>
      </c>
      <c r="K66" s="115" t="s">
        <v>703</v>
      </c>
      <c r="L66" s="389"/>
      <c r="M66" s="389"/>
    </row>
    <row r="67" spans="2:13" x14ac:dyDescent="0.2">
      <c r="B67" s="442" t="s">
        <v>641</v>
      </c>
      <c r="C67" s="443"/>
      <c r="D67" s="77">
        <f>D58</f>
        <v>82.279245258022812</v>
      </c>
      <c r="E67" s="78">
        <f>D59</f>
        <v>82.279245258022812</v>
      </c>
      <c r="F67" s="78">
        <f t="array" ref="F67:G67">TRANSPOSE(E58:E59)</f>
        <v>50.879532500457188</v>
      </c>
      <c r="G67" s="78">
        <v>227.70077838709483</v>
      </c>
      <c r="H67" s="78">
        <f t="array" ref="H67:I67">TRANSPOSE(F58:F59)</f>
        <v>-10.45846352513388</v>
      </c>
      <c r="I67" s="78">
        <v>283.91368784113087</v>
      </c>
      <c r="J67" s="77">
        <f t="array" ref="J67:K67">TRANSPOSE(G58:G59)</f>
        <v>-29.893072733878569</v>
      </c>
      <c r="K67" s="78">
        <v>292.2297367477355</v>
      </c>
      <c r="L67" s="333"/>
      <c r="M67" s="333"/>
    </row>
    <row r="68" spans="2:13" x14ac:dyDescent="0.2">
      <c r="B68" s="442" t="s">
        <v>676</v>
      </c>
      <c r="C68" s="443"/>
      <c r="D68" s="77">
        <f t="shared" ref="D68:K68" si="10">D5</f>
        <v>0</v>
      </c>
      <c r="E68" s="78">
        <f t="shared" si="10"/>
        <v>0</v>
      </c>
      <c r="F68" s="78">
        <f t="shared" si="10"/>
        <v>43.745256777115031</v>
      </c>
      <c r="G68" s="78">
        <f t="shared" si="10"/>
        <v>-39.658329334140184</v>
      </c>
      <c r="H68" s="78">
        <f t="shared" si="10"/>
        <v>70.11561849138198</v>
      </c>
      <c r="I68" s="78">
        <f t="shared" si="10"/>
        <v>-63.565023832545883</v>
      </c>
      <c r="J68" s="77">
        <f t="shared" si="10"/>
        <v>79.170977749466488</v>
      </c>
      <c r="K68" s="78">
        <f t="shared" si="10"/>
        <v>-71.774380598373384</v>
      </c>
      <c r="L68" s="333"/>
      <c r="M68" s="333"/>
    </row>
    <row r="69" spans="2:13" x14ac:dyDescent="0.2">
      <c r="B69" s="453" t="s">
        <v>642</v>
      </c>
      <c r="C69" s="454"/>
      <c r="D69" s="116">
        <f>SUM(D67:D68)</f>
        <v>82.279245258022812</v>
      </c>
      <c r="E69" s="117">
        <f t="shared" ref="E69:K69" si="11">SUM(E67:E68)</f>
        <v>82.279245258022812</v>
      </c>
      <c r="F69" s="117">
        <f t="shared" si="11"/>
        <v>94.624789277572219</v>
      </c>
      <c r="G69" s="117">
        <f t="shared" si="11"/>
        <v>188.04244905295465</v>
      </c>
      <c r="H69" s="117">
        <f t="shared" si="11"/>
        <v>59.6571549662481</v>
      </c>
      <c r="I69" s="117">
        <f t="shared" si="11"/>
        <v>220.34866400858499</v>
      </c>
      <c r="J69" s="116">
        <f t="shared" si="11"/>
        <v>49.277905015587919</v>
      </c>
      <c r="K69" s="117">
        <f t="shared" si="11"/>
        <v>220.4553561493621</v>
      </c>
      <c r="L69" s="390"/>
      <c r="M69" s="390"/>
    </row>
    <row r="70" spans="2:13" x14ac:dyDescent="0.2">
      <c r="L70" s="172"/>
      <c r="M70" s="172"/>
    </row>
    <row r="71" spans="2:13" x14ac:dyDescent="0.2">
      <c r="B71" s="434" t="s">
        <v>643</v>
      </c>
      <c r="C71" s="425"/>
      <c r="D71" s="424">
        <f>D65</f>
        <v>0</v>
      </c>
      <c r="E71" s="425">
        <f t="shared" ref="E71:K71" si="12">E65</f>
        <v>0</v>
      </c>
      <c r="F71" s="424">
        <f t="shared" si="12"/>
        <v>5</v>
      </c>
      <c r="G71" s="425">
        <f t="shared" si="12"/>
        <v>0</v>
      </c>
      <c r="H71" s="424">
        <f t="shared" si="12"/>
        <v>10</v>
      </c>
      <c r="I71" s="425">
        <f t="shared" si="12"/>
        <v>0</v>
      </c>
      <c r="J71" s="434">
        <f t="shared" si="12"/>
        <v>15</v>
      </c>
      <c r="K71" s="425">
        <f t="shared" si="12"/>
        <v>0</v>
      </c>
      <c r="L71" s="441"/>
      <c r="M71" s="441"/>
    </row>
    <row r="72" spans="2:13" x14ac:dyDescent="0.2">
      <c r="B72" s="107"/>
      <c r="C72" s="108"/>
      <c r="D72" s="118"/>
      <c r="E72" s="119">
        <f>D69</f>
        <v>82.279245258022812</v>
      </c>
      <c r="F72" s="120"/>
      <c r="G72" s="119">
        <f>F69</f>
        <v>94.624789277572219</v>
      </c>
      <c r="H72" s="120"/>
      <c r="I72" s="119">
        <f>H69</f>
        <v>59.6571549662481</v>
      </c>
      <c r="J72" s="407"/>
      <c r="K72" s="119">
        <f>J69</f>
        <v>49.277905015587919</v>
      </c>
      <c r="L72" s="391"/>
      <c r="M72" s="391"/>
    </row>
    <row r="73" spans="2:13" x14ac:dyDescent="0.2">
      <c r="B73" s="428" t="s">
        <v>720</v>
      </c>
      <c r="C73" s="429"/>
      <c r="D73" s="121">
        <f>D-D75</f>
        <v>90</v>
      </c>
      <c r="E73" s="122"/>
      <c r="F73" s="123">
        <f>D-F75</f>
        <v>118.64069375026699</v>
      </c>
      <c r="G73" s="122"/>
      <c r="H73" s="123">
        <f>D-H75</f>
        <v>134.66017343756675</v>
      </c>
      <c r="I73" s="122"/>
      <c r="J73" s="121">
        <f>D-J75</f>
        <v>140</v>
      </c>
      <c r="K73" s="122"/>
      <c r="L73" s="123"/>
      <c r="M73" s="176"/>
    </row>
    <row r="74" spans="2:13" x14ac:dyDescent="0.2">
      <c r="B74" s="428"/>
      <c r="C74" s="429"/>
      <c r="D74" s="124"/>
      <c r="E74" s="125">
        <f>E72+D73/(D73+D75)*(E76-E72)</f>
        <v>82.279245258022812</v>
      </c>
      <c r="F74" s="126"/>
      <c r="G74" s="125">
        <f>G72+F73/(F73+F75)*(G76-G72)</f>
        <v>156.19776685689322</v>
      </c>
      <c r="H74" s="126"/>
      <c r="I74" s="125">
        <f>I72+H73/(H73+H75)*(I76-I72)</f>
        <v>179.87241317505595</v>
      </c>
      <c r="J74" s="408"/>
      <c r="K74" s="125">
        <f>K72+J73/(J73+J75)*(K76-K72)</f>
        <v>182.41592256407895</v>
      </c>
      <c r="L74" s="126"/>
      <c r="M74" s="386"/>
    </row>
    <row r="75" spans="2:13" x14ac:dyDescent="0.2">
      <c r="B75" s="428"/>
      <c r="C75" s="429"/>
      <c r="D75" s="121">
        <f>D52</f>
        <v>90</v>
      </c>
      <c r="E75" s="122"/>
      <c r="F75" s="123">
        <f>E52</f>
        <v>61.359306249733002</v>
      </c>
      <c r="G75" s="122"/>
      <c r="H75" s="123">
        <f>F52</f>
        <v>45.339826562433252</v>
      </c>
      <c r="I75" s="122"/>
      <c r="J75" s="121">
        <f>G52</f>
        <v>40</v>
      </c>
      <c r="K75" s="122"/>
      <c r="L75" s="123"/>
      <c r="M75" s="176"/>
    </row>
    <row r="76" spans="2:13" x14ac:dyDescent="0.2">
      <c r="B76" s="75"/>
      <c r="C76" s="127"/>
      <c r="D76" s="128"/>
      <c r="E76" s="129">
        <f>E69</f>
        <v>82.279245258022812</v>
      </c>
      <c r="F76" s="130"/>
      <c r="G76" s="129">
        <f>G69</f>
        <v>188.04244905295465</v>
      </c>
      <c r="H76" s="130"/>
      <c r="I76" s="129">
        <f>I69</f>
        <v>220.34866400858499</v>
      </c>
      <c r="J76" s="409"/>
      <c r="K76" s="129">
        <f>K69</f>
        <v>220.4553561493621</v>
      </c>
      <c r="L76" s="204"/>
      <c r="M76" s="329"/>
    </row>
    <row r="77" spans="2:13" x14ac:dyDescent="0.2">
      <c r="E77" s="131"/>
      <c r="F77" s="131"/>
      <c r="G77" s="131"/>
      <c r="H77" s="131"/>
      <c r="I77" s="131"/>
      <c r="J77" s="131"/>
      <c r="K77" s="131"/>
      <c r="L77" s="275"/>
      <c r="M77" s="275"/>
    </row>
    <row r="78" spans="2:13" ht="12.55" x14ac:dyDescent="0.2">
      <c r="D78" s="44" t="s">
        <v>645</v>
      </c>
      <c r="G78" s="44" t="s">
        <v>24</v>
      </c>
      <c r="H78" s="132">
        <f>AVERAGE(E74:M74)</f>
        <v>150.19133696351273</v>
      </c>
      <c r="I78" s="101" t="s">
        <v>874</v>
      </c>
      <c r="L78" s="172"/>
      <c r="M78" s="172"/>
    </row>
    <row r="79" spans="2:13" ht="12.55" x14ac:dyDescent="0.2">
      <c r="D79" s="44" t="s">
        <v>646</v>
      </c>
      <c r="G79" s="44" t="s">
        <v>24</v>
      </c>
      <c r="H79" s="44">
        <f>0.5*H78*ms</f>
        <v>372.63618541183723</v>
      </c>
      <c r="I79" s="133" t="s">
        <v>878</v>
      </c>
      <c r="L79" s="172"/>
      <c r="M79" s="172"/>
    </row>
    <row r="80" spans="2:13" x14ac:dyDescent="0.2">
      <c r="D80" s="44" t="s">
        <v>647</v>
      </c>
      <c r="G80" s="44" t="s">
        <v>24</v>
      </c>
      <c r="H80" s="101">
        <f>H79/F30*100</f>
        <v>3.0228577016900857</v>
      </c>
      <c r="I80" s="44" t="s">
        <v>68</v>
      </c>
      <c r="L80" s="172"/>
      <c r="M80" s="172"/>
    </row>
    <row r="81" spans="1:15" x14ac:dyDescent="0.2">
      <c r="D81" s="44" t="s">
        <v>648</v>
      </c>
      <c r="H81" s="134">
        <v>4.5</v>
      </c>
      <c r="I81" s="44" t="s">
        <v>68</v>
      </c>
      <c r="L81" s="172"/>
      <c r="M81" s="172"/>
    </row>
    <row r="82" spans="1:15" x14ac:dyDescent="0.2">
      <c r="L82" s="172"/>
      <c r="M82" s="172"/>
    </row>
    <row r="83" spans="1:15" x14ac:dyDescent="0.2">
      <c r="A83" s="67" t="s">
        <v>428</v>
      </c>
      <c r="B83" s="44" t="s">
        <v>649</v>
      </c>
      <c r="L83" s="172"/>
      <c r="M83" s="172"/>
    </row>
    <row r="84" spans="1:15" x14ac:dyDescent="0.2">
      <c r="B84" s="430" t="s">
        <v>640</v>
      </c>
      <c r="C84" s="431"/>
      <c r="D84" s="424">
        <f>D71</f>
        <v>0</v>
      </c>
      <c r="E84" s="425"/>
      <c r="F84" s="424">
        <f>F71</f>
        <v>5</v>
      </c>
      <c r="G84" s="425"/>
      <c r="H84" s="424">
        <f>H71</f>
        <v>10</v>
      </c>
      <c r="I84" s="425"/>
      <c r="J84" s="434">
        <f>J71</f>
        <v>15</v>
      </c>
      <c r="K84" s="425"/>
      <c r="L84" s="441"/>
      <c r="M84" s="441"/>
    </row>
    <row r="85" spans="1:15" x14ac:dyDescent="0.2">
      <c r="B85" s="432"/>
      <c r="C85" s="433"/>
      <c r="D85" s="135" t="s">
        <v>702</v>
      </c>
      <c r="E85" s="136" t="s">
        <v>703</v>
      </c>
      <c r="F85" s="136" t="s">
        <v>702</v>
      </c>
      <c r="G85" s="136" t="s">
        <v>703</v>
      </c>
      <c r="H85" s="136" t="s">
        <v>702</v>
      </c>
      <c r="I85" s="136" t="s">
        <v>703</v>
      </c>
      <c r="J85" s="135" t="s">
        <v>702</v>
      </c>
      <c r="K85" s="136" t="s">
        <v>703</v>
      </c>
      <c r="L85" s="384"/>
      <c r="M85" s="384"/>
    </row>
    <row r="86" spans="1:15" x14ac:dyDescent="0.2">
      <c r="B86" s="71" t="s">
        <v>641</v>
      </c>
      <c r="C86" s="112"/>
      <c r="D86" s="77">
        <f t="shared" ref="D86:K86" si="13">D67</f>
        <v>82.279245258022812</v>
      </c>
      <c r="E86" s="78">
        <f t="shared" si="13"/>
        <v>82.279245258022812</v>
      </c>
      <c r="F86" s="78">
        <f t="shared" si="13"/>
        <v>50.879532500457188</v>
      </c>
      <c r="G86" s="78">
        <f t="shared" si="13"/>
        <v>227.70077838709483</v>
      </c>
      <c r="H86" s="78">
        <f t="shared" si="13"/>
        <v>-10.45846352513388</v>
      </c>
      <c r="I86" s="78">
        <f t="shared" si="13"/>
        <v>283.91368784113087</v>
      </c>
      <c r="J86" s="77">
        <f t="shared" si="13"/>
        <v>-29.893072733878569</v>
      </c>
      <c r="K86" s="78">
        <f t="shared" si="13"/>
        <v>292.2297367477355</v>
      </c>
      <c r="L86" s="333"/>
      <c r="M86" s="333"/>
    </row>
    <row r="87" spans="1:15" x14ac:dyDescent="0.2">
      <c r="B87" s="422" t="s">
        <v>676</v>
      </c>
      <c r="C87" s="435"/>
      <c r="D87" s="77">
        <f t="shared" ref="D87:K87" si="14">D5</f>
        <v>0</v>
      </c>
      <c r="E87" s="78">
        <f t="shared" si="14"/>
        <v>0</v>
      </c>
      <c r="F87" s="78">
        <f t="shared" si="14"/>
        <v>43.745256777115031</v>
      </c>
      <c r="G87" s="78">
        <f t="shared" si="14"/>
        <v>-39.658329334140184</v>
      </c>
      <c r="H87" s="78">
        <f t="shared" si="14"/>
        <v>70.11561849138198</v>
      </c>
      <c r="I87" s="78">
        <f t="shared" si="14"/>
        <v>-63.565023832545883</v>
      </c>
      <c r="J87" s="77">
        <f t="shared" si="14"/>
        <v>79.170977749466488</v>
      </c>
      <c r="K87" s="78">
        <f t="shared" si="14"/>
        <v>-71.774380598373384</v>
      </c>
      <c r="L87" s="333"/>
      <c r="M87" s="333"/>
    </row>
    <row r="88" spans="1:15" x14ac:dyDescent="0.2">
      <c r="B88" s="137" t="s">
        <v>650</v>
      </c>
      <c r="C88" s="138"/>
      <c r="D88" s="139">
        <f t="shared" ref="D88:K88" si="15">-$B$89%*D86</f>
        <v>-6.1897505387856437</v>
      </c>
      <c r="E88" s="140">
        <f t="shared" si="15"/>
        <v>-6.1897505387856437</v>
      </c>
      <c r="F88" s="141">
        <f t="shared" si="15"/>
        <v>-3.8275948292945539</v>
      </c>
      <c r="G88" s="140">
        <f t="shared" si="15"/>
        <v>-17.129605543701839</v>
      </c>
      <c r="H88" s="140">
        <f t="shared" si="15"/>
        <v>0.78677532877898249</v>
      </c>
      <c r="I88" s="141">
        <f t="shared" si="15"/>
        <v>-21.358422731908863</v>
      </c>
      <c r="J88" s="139">
        <f t="shared" si="15"/>
        <v>2.2488133244324029</v>
      </c>
      <c r="K88" s="141">
        <f t="shared" si="15"/>
        <v>-21.984027257555685</v>
      </c>
      <c r="L88" s="333"/>
      <c r="M88" s="333"/>
    </row>
    <row r="89" spans="1:15" x14ac:dyDescent="0.2">
      <c r="B89" s="142">
        <f>H80+H81</f>
        <v>7.5228577016900857</v>
      </c>
      <c r="C89" s="143"/>
      <c r="D89" s="96"/>
      <c r="E89" s="144"/>
      <c r="F89" s="96"/>
      <c r="G89" s="144"/>
      <c r="H89" s="144"/>
      <c r="I89" s="96"/>
      <c r="J89" s="96"/>
      <c r="K89" s="96"/>
      <c r="L89" s="392"/>
      <c r="M89" s="392"/>
    </row>
    <row r="90" spans="1:15" x14ac:dyDescent="0.2">
      <c r="B90" s="145" t="s">
        <v>642</v>
      </c>
      <c r="C90" s="146"/>
      <c r="D90" s="147">
        <f>SUM(D86:D88)</f>
        <v>76.089494719237166</v>
      </c>
      <c r="E90" s="106">
        <f t="shared" ref="E90:K90" si="16">SUM(E86:E88)</f>
        <v>76.089494719237166</v>
      </c>
      <c r="F90" s="106">
        <f t="shared" si="16"/>
        <v>90.797194448277665</v>
      </c>
      <c r="G90" s="106">
        <f t="shared" si="16"/>
        <v>170.91284350925281</v>
      </c>
      <c r="H90" s="106">
        <f t="shared" si="16"/>
        <v>60.44393029502708</v>
      </c>
      <c r="I90" s="106">
        <f t="shared" si="16"/>
        <v>198.99024127667613</v>
      </c>
      <c r="J90" s="147">
        <f t="shared" si="16"/>
        <v>51.526718340020324</v>
      </c>
      <c r="K90" s="106">
        <f t="shared" si="16"/>
        <v>198.47132889180642</v>
      </c>
      <c r="L90" s="386"/>
      <c r="M90" s="386"/>
    </row>
    <row r="91" spans="1:15" x14ac:dyDescent="0.2">
      <c r="L91" s="172"/>
      <c r="M91" s="172"/>
    </row>
    <row r="92" spans="1:15" x14ac:dyDescent="0.2">
      <c r="L92" s="172"/>
      <c r="M92" s="172"/>
    </row>
    <row r="93" spans="1:15" x14ac:dyDescent="0.2">
      <c r="B93" s="434" t="s">
        <v>629</v>
      </c>
      <c r="C93" s="425"/>
      <c r="D93" s="424">
        <f t="shared" ref="D93:K93" si="17">D71</f>
        <v>0</v>
      </c>
      <c r="E93" s="425">
        <f t="shared" si="17"/>
        <v>0</v>
      </c>
      <c r="F93" s="424">
        <f t="shared" si="17"/>
        <v>5</v>
      </c>
      <c r="G93" s="425">
        <f t="shared" si="17"/>
        <v>0</v>
      </c>
      <c r="H93" s="424">
        <f t="shared" si="17"/>
        <v>10</v>
      </c>
      <c r="I93" s="425">
        <f t="shared" si="17"/>
        <v>0</v>
      </c>
      <c r="J93" s="434">
        <f t="shared" si="17"/>
        <v>15</v>
      </c>
      <c r="K93" s="425">
        <f t="shared" si="17"/>
        <v>0</v>
      </c>
      <c r="L93" s="441"/>
      <c r="M93" s="441"/>
    </row>
    <row r="94" spans="1:15" x14ac:dyDescent="0.2">
      <c r="B94" s="107"/>
      <c r="C94" s="108"/>
      <c r="D94" s="118"/>
      <c r="E94" s="119">
        <f>D90</f>
        <v>76.089494719237166</v>
      </c>
      <c r="F94" s="120"/>
      <c r="G94" s="119">
        <f>F90</f>
        <v>90.797194448277665</v>
      </c>
      <c r="H94" s="120"/>
      <c r="I94" s="119">
        <f>H90</f>
        <v>60.44393029502708</v>
      </c>
      <c r="J94" s="407"/>
      <c r="K94" s="119">
        <f>J90</f>
        <v>51.526718340020324</v>
      </c>
      <c r="L94" s="391"/>
      <c r="M94" s="391"/>
    </row>
    <row r="95" spans="1:15" ht="12.7" customHeight="1" x14ac:dyDescent="0.2">
      <c r="B95" s="428" t="s">
        <v>644</v>
      </c>
      <c r="C95" s="429"/>
      <c r="D95" s="121">
        <f>D-D75</f>
        <v>90</v>
      </c>
      <c r="E95" s="122"/>
      <c r="F95" s="123">
        <f>D-F75</f>
        <v>118.64069375026699</v>
      </c>
      <c r="G95" s="122"/>
      <c r="H95" s="123">
        <f>D-H75</f>
        <v>134.66017343756675</v>
      </c>
      <c r="I95" s="122"/>
      <c r="J95" s="121">
        <f>D-J75</f>
        <v>140</v>
      </c>
      <c r="K95" s="122"/>
      <c r="L95" s="123"/>
      <c r="M95" s="176"/>
      <c r="O95" s="44" t="s">
        <v>743</v>
      </c>
    </row>
    <row r="96" spans="1:15" x14ac:dyDescent="0.2">
      <c r="B96" s="428"/>
      <c r="C96" s="429"/>
      <c r="D96" s="148">
        <f>E96</f>
        <v>76.089494719237166</v>
      </c>
      <c r="E96" s="149">
        <f>E94+D95/(D95+D97)*(E98-E94)</f>
        <v>76.089494719237166</v>
      </c>
      <c r="F96" s="150">
        <f>G96</f>
        <v>143.60261769742777</v>
      </c>
      <c r="G96" s="149">
        <f>G94+F95/(F95+F97)*(G98-G94)</f>
        <v>143.60261769742777</v>
      </c>
      <c r="H96" s="150">
        <f>I96</f>
        <v>164.09209843904887</v>
      </c>
      <c r="I96" s="149">
        <f>I94+H95/(H95+H97)*(I98-I94)</f>
        <v>164.09209843904887</v>
      </c>
      <c r="J96" s="410">
        <f>K96</f>
        <v>165.81697099140951</v>
      </c>
      <c r="K96" s="149">
        <f>K94+J95/(J95+J97)*(K98-K94)</f>
        <v>165.81697099140951</v>
      </c>
      <c r="L96" s="150"/>
      <c r="M96" s="388"/>
    </row>
    <row r="97" spans="1:13" x14ac:dyDescent="0.2">
      <c r="B97" s="428"/>
      <c r="C97" s="429"/>
      <c r="D97" s="121">
        <f>D75</f>
        <v>90</v>
      </c>
      <c r="E97" s="122"/>
      <c r="F97" s="123">
        <f>F75</f>
        <v>61.359306249733002</v>
      </c>
      <c r="G97" s="122"/>
      <c r="H97" s="123">
        <f>H75</f>
        <v>45.339826562433252</v>
      </c>
      <c r="I97" s="122"/>
      <c r="J97" s="121">
        <f>J75</f>
        <v>40</v>
      </c>
      <c r="K97" s="122"/>
      <c r="L97" s="123"/>
      <c r="M97" s="176"/>
    </row>
    <row r="98" spans="1:13" x14ac:dyDescent="0.2">
      <c r="B98" s="75"/>
      <c r="C98" s="127"/>
      <c r="D98" s="128"/>
      <c r="E98" s="129">
        <f>E90</f>
        <v>76.089494719237166</v>
      </c>
      <c r="F98" s="130"/>
      <c r="G98" s="129">
        <f>G90</f>
        <v>170.91284350925281</v>
      </c>
      <c r="H98" s="130"/>
      <c r="I98" s="129">
        <f>I90</f>
        <v>198.99024127667613</v>
      </c>
      <c r="J98" s="409"/>
      <c r="K98" s="129">
        <f>K90</f>
        <v>198.47132889180642</v>
      </c>
      <c r="L98" s="204"/>
      <c r="M98" s="329"/>
    </row>
    <row r="99" spans="1:13" x14ac:dyDescent="0.2">
      <c r="L99" s="172"/>
      <c r="M99" s="172"/>
    </row>
    <row r="100" spans="1:13" ht="12.55" x14ac:dyDescent="0.2">
      <c r="B100" s="44" t="s">
        <v>651</v>
      </c>
      <c r="H100" s="44" t="s">
        <v>24</v>
      </c>
      <c r="I100" s="151">
        <f>AVERAGE(E96:M96)</f>
        <v>146.15898128214423</v>
      </c>
      <c r="J100" s="101" t="s">
        <v>874</v>
      </c>
      <c r="L100" s="172"/>
      <c r="M100" s="172"/>
    </row>
    <row r="101" spans="1:13" x14ac:dyDescent="0.2">
      <c r="B101" s="44" t="s">
        <v>652</v>
      </c>
      <c r="H101" s="44" t="s">
        <v>24</v>
      </c>
      <c r="I101" s="152">
        <f>cr</f>
        <v>4.0000000000000002E-4</v>
      </c>
      <c r="J101" s="44" t="s">
        <v>653</v>
      </c>
      <c r="L101" s="172"/>
      <c r="M101" s="172"/>
    </row>
    <row r="102" spans="1:13" ht="12.55" x14ac:dyDescent="0.2">
      <c r="B102" s="44" t="s">
        <v>322</v>
      </c>
      <c r="H102" s="44" t="s">
        <v>24</v>
      </c>
      <c r="I102" s="153">
        <f>Eps*10</f>
        <v>2000000</v>
      </c>
      <c r="J102" s="44" t="s">
        <v>878</v>
      </c>
      <c r="L102" s="172"/>
      <c r="M102" s="172"/>
    </row>
    <row r="103" spans="1:13" ht="12.55" x14ac:dyDescent="0.2">
      <c r="B103" s="44" t="s">
        <v>646</v>
      </c>
      <c r="H103" s="44" t="s">
        <v>24</v>
      </c>
      <c r="I103" s="154">
        <f>I101*I100*I102/100</f>
        <v>1169.2718502571538</v>
      </c>
      <c r="J103" s="44" t="s">
        <v>878</v>
      </c>
      <c r="L103" s="172"/>
      <c r="M103" s="172"/>
    </row>
    <row r="104" spans="1:13" x14ac:dyDescent="0.2">
      <c r="I104" s="81"/>
      <c r="L104" s="172"/>
      <c r="M104" s="172"/>
    </row>
    <row r="105" spans="1:13" x14ac:dyDescent="0.2">
      <c r="A105" s="67" t="s">
        <v>654</v>
      </c>
      <c r="B105" s="44" t="s">
        <v>655</v>
      </c>
      <c r="E105" s="44" t="s">
        <v>656</v>
      </c>
      <c r="I105" s="81"/>
      <c r="L105" s="172"/>
      <c r="M105" s="172"/>
    </row>
    <row r="106" spans="1:13" x14ac:dyDescent="0.2">
      <c r="B106" s="44" t="s">
        <v>657</v>
      </c>
      <c r="H106" s="44" t="s">
        <v>24</v>
      </c>
      <c r="I106" s="152">
        <f>esh</f>
        <v>1.9000000000000001E-4</v>
      </c>
      <c r="L106" s="172"/>
      <c r="M106" s="172"/>
    </row>
    <row r="107" spans="1:13" ht="12.55" x14ac:dyDescent="0.2">
      <c r="B107" s="44" t="s">
        <v>646</v>
      </c>
      <c r="H107" s="44" t="s">
        <v>24</v>
      </c>
      <c r="I107" s="155">
        <f>I106*I102</f>
        <v>380</v>
      </c>
      <c r="J107" s="44" t="s">
        <v>878</v>
      </c>
      <c r="L107" s="172"/>
      <c r="M107" s="172"/>
    </row>
    <row r="108" spans="1:13" x14ac:dyDescent="0.2">
      <c r="L108" s="172"/>
      <c r="M108" s="172"/>
    </row>
    <row r="109" spans="1:13" x14ac:dyDescent="0.2">
      <c r="A109" s="67" t="s">
        <v>430</v>
      </c>
      <c r="B109" s="44" t="s">
        <v>659</v>
      </c>
    </row>
    <row r="110" spans="1:13" x14ac:dyDescent="0.2">
      <c r="B110" s="44" t="s">
        <v>660</v>
      </c>
      <c r="I110" s="101"/>
    </row>
    <row r="111" spans="1:13" x14ac:dyDescent="0.2">
      <c r="B111" s="44" t="s">
        <v>707</v>
      </c>
      <c r="H111" s="44" t="s">
        <v>24</v>
      </c>
      <c r="I111" s="101">
        <f>Re</f>
        <v>2.5</v>
      </c>
      <c r="J111" s="44" t="s">
        <v>661</v>
      </c>
    </row>
    <row r="112" spans="1:13" ht="12.55" x14ac:dyDescent="0.2">
      <c r="B112" s="44" t="s">
        <v>658</v>
      </c>
      <c r="D112" s="101">
        <f>2*I111</f>
        <v>5</v>
      </c>
      <c r="E112" s="44" t="s">
        <v>661</v>
      </c>
      <c r="H112" s="44" t="s">
        <v>24</v>
      </c>
      <c r="I112" s="100">
        <f>D112%*F30</f>
        <v>616.36408687629523</v>
      </c>
      <c r="J112" s="44" t="s">
        <v>878</v>
      </c>
    </row>
    <row r="113" spans="1:26" ht="12.55" x14ac:dyDescent="0.2">
      <c r="B113" s="44" t="s">
        <v>714</v>
      </c>
      <c r="H113" s="44" t="s">
        <v>24</v>
      </c>
      <c r="I113" s="156">
        <f>I112+I107+I103</f>
        <v>2165.6359371334493</v>
      </c>
      <c r="J113" s="44" t="s">
        <v>878</v>
      </c>
    </row>
    <row r="114" spans="1:26" x14ac:dyDescent="0.2">
      <c r="B114" s="44" t="s">
        <v>715</v>
      </c>
      <c r="H114" s="44" t="s">
        <v>24</v>
      </c>
      <c r="I114" s="156">
        <f>I113/F30*100</f>
        <v>17.567830307154921</v>
      </c>
      <c r="J114" s="101" t="s">
        <v>68</v>
      </c>
    </row>
    <row r="115" spans="1:26" x14ac:dyDescent="0.2">
      <c r="A115" s="67">
        <v>3</v>
      </c>
      <c r="B115" s="44" t="s">
        <v>662</v>
      </c>
    </row>
    <row r="116" spans="1:26" x14ac:dyDescent="0.2">
      <c r="B116" s="44" t="s">
        <v>663</v>
      </c>
    </row>
    <row r="117" spans="1:26" x14ac:dyDescent="0.2">
      <c r="A117" s="67" t="s">
        <v>11</v>
      </c>
      <c r="B117" s="44" t="s">
        <v>664</v>
      </c>
      <c r="H117" s="44" t="s">
        <v>24</v>
      </c>
      <c r="I117" s="157">
        <f>I103</f>
        <v>1169.2718502571538</v>
      </c>
    </row>
    <row r="118" spans="1:26" x14ac:dyDescent="0.2">
      <c r="A118" s="67" t="s">
        <v>428</v>
      </c>
      <c r="B118" s="44" t="s">
        <v>665</v>
      </c>
      <c r="H118" s="44" t="s">
        <v>24</v>
      </c>
      <c r="I118" s="157">
        <f>I107</f>
        <v>380</v>
      </c>
    </row>
    <row r="119" spans="1:26" x14ac:dyDescent="0.2">
      <c r="A119" s="67" t="s">
        <v>654</v>
      </c>
      <c r="B119" s="44" t="s">
        <v>659</v>
      </c>
      <c r="H119" s="44" t="s">
        <v>24</v>
      </c>
      <c r="I119" s="157">
        <f>I111/2</f>
        <v>1.25</v>
      </c>
      <c r="J119" s="44" t="s">
        <v>68</v>
      </c>
      <c r="Q119" s="44" t="s">
        <v>858</v>
      </c>
    </row>
    <row r="120" spans="1:26" x14ac:dyDescent="0.2">
      <c r="B120" s="44" t="s">
        <v>666</v>
      </c>
      <c r="H120" s="44" t="s">
        <v>24</v>
      </c>
      <c r="I120" s="157">
        <f>SUM(I117:I118)</f>
        <v>1549.2718502571538</v>
      </c>
    </row>
    <row r="121" spans="1:26" x14ac:dyDescent="0.2">
      <c r="B121" s="44" t="s">
        <v>716</v>
      </c>
      <c r="H121" s="44" t="s">
        <v>24</v>
      </c>
      <c r="I121" s="158">
        <f>I120/F30*20+I119</f>
        <v>3.7635660614309834</v>
      </c>
      <c r="J121" s="44" t="s">
        <v>68</v>
      </c>
      <c r="P121" s="44" t="s">
        <v>835</v>
      </c>
      <c r="Q121" s="44">
        <v>0.15</v>
      </c>
      <c r="R121" s="44">
        <v>0.25</v>
      </c>
      <c r="S121" s="44">
        <v>0.5</v>
      </c>
      <c r="T121" s="44">
        <v>0.75</v>
      </c>
      <c r="U121" s="44">
        <v>1</v>
      </c>
      <c r="V121" s="44">
        <v>1.25</v>
      </c>
      <c r="W121" s="44">
        <v>1.5</v>
      </c>
      <c r="X121" s="44">
        <v>1.75</v>
      </c>
      <c r="Y121" s="44">
        <v>2</v>
      </c>
      <c r="Z121" s="44">
        <v>2.25</v>
      </c>
    </row>
    <row r="122" spans="1:26" x14ac:dyDescent="0.2">
      <c r="L122" s="172"/>
      <c r="M122" s="172"/>
      <c r="P122" s="44" t="s">
        <v>434</v>
      </c>
      <c r="Q122" s="44">
        <v>0.19</v>
      </c>
      <c r="R122" s="44">
        <v>0.23</v>
      </c>
      <c r="S122" s="44">
        <v>0.31</v>
      </c>
      <c r="T122" s="44">
        <v>0.36</v>
      </c>
      <c r="U122" s="44">
        <v>0.4</v>
      </c>
      <c r="V122" s="44">
        <v>0.44</v>
      </c>
      <c r="W122" s="44">
        <v>0.46</v>
      </c>
      <c r="X122" s="44">
        <v>0.49</v>
      </c>
      <c r="Y122" s="44">
        <v>0.51</v>
      </c>
      <c r="Z122" s="44">
        <v>0.53</v>
      </c>
    </row>
    <row r="123" spans="1:26" x14ac:dyDescent="0.2">
      <c r="B123" s="44" t="s">
        <v>713</v>
      </c>
      <c r="L123" s="172"/>
      <c r="M123" s="172"/>
    </row>
    <row r="124" spans="1:26" ht="12.7" customHeight="1" x14ac:dyDescent="0.2">
      <c r="B124" s="430" t="s">
        <v>667</v>
      </c>
      <c r="C124" s="436"/>
      <c r="D124" s="426">
        <f t="shared" ref="D124:K124" si="18">D84</f>
        <v>0</v>
      </c>
      <c r="E124" s="427">
        <f t="shared" si="18"/>
        <v>0</v>
      </c>
      <c r="F124" s="452">
        <f t="shared" si="18"/>
        <v>5</v>
      </c>
      <c r="G124" s="427">
        <f t="shared" si="18"/>
        <v>0</v>
      </c>
      <c r="H124" s="452">
        <f t="shared" si="18"/>
        <v>10</v>
      </c>
      <c r="I124" s="427">
        <f t="shared" si="18"/>
        <v>0</v>
      </c>
      <c r="J124" s="426">
        <f t="shared" si="18"/>
        <v>15</v>
      </c>
      <c r="K124" s="427">
        <f t="shared" si="18"/>
        <v>0</v>
      </c>
      <c r="L124" s="451"/>
      <c r="M124" s="451"/>
      <c r="N124" s="159"/>
      <c r="Q124" s="44" t="s">
        <v>820</v>
      </c>
      <c r="R124" s="44" t="s">
        <v>821</v>
      </c>
      <c r="S124" s="44" t="s">
        <v>822</v>
      </c>
      <c r="T124" s="44" t="s">
        <v>430</v>
      </c>
      <c r="U124" s="44" t="s">
        <v>835</v>
      </c>
      <c r="V124" s="44" t="s">
        <v>434</v>
      </c>
    </row>
    <row r="125" spans="1:26" x14ac:dyDescent="0.2">
      <c r="B125" s="437"/>
      <c r="C125" s="438"/>
      <c r="D125" s="160" t="s">
        <v>702</v>
      </c>
      <c r="E125" s="161" t="s">
        <v>703</v>
      </c>
      <c r="F125" s="161" t="s">
        <v>702</v>
      </c>
      <c r="G125" s="161" t="s">
        <v>703</v>
      </c>
      <c r="H125" s="161" t="s">
        <v>702</v>
      </c>
      <c r="I125" s="161" t="s">
        <v>703</v>
      </c>
      <c r="J125" s="160" t="s">
        <v>702</v>
      </c>
      <c r="K125" s="161" t="s">
        <v>703</v>
      </c>
      <c r="L125" s="393"/>
      <c r="M125" s="393"/>
      <c r="P125" s="44">
        <v>12.5</v>
      </c>
      <c r="Q125" s="44">
        <v>25</v>
      </c>
      <c r="R125" s="44">
        <v>28</v>
      </c>
      <c r="S125" s="44">
        <f t="shared" ref="S125:S129" si="19">PI()/4*R125^2/100*Q125</f>
        <v>153.93804002589985</v>
      </c>
      <c r="T125" s="44">
        <v>171.58</v>
      </c>
      <c r="U125" s="44">
        <f>S125/(T125*40)*100</f>
        <v>2.2429484792210608</v>
      </c>
      <c r="V125" s="44">
        <f>interp(U125,$Q$121:$Z$121,$Q$122:$Z$122)</f>
        <v>0.52943587833768491</v>
      </c>
    </row>
    <row r="126" spans="1:26" x14ac:dyDescent="0.2">
      <c r="B126" s="162" t="s">
        <v>641</v>
      </c>
      <c r="C126" s="163"/>
      <c r="D126" s="77">
        <f t="shared" ref="D126:K126" si="20">D86</f>
        <v>82.279245258022812</v>
      </c>
      <c r="E126" s="78">
        <f t="shared" si="20"/>
        <v>82.279245258022812</v>
      </c>
      <c r="F126" s="78">
        <f t="shared" si="20"/>
        <v>50.879532500457188</v>
      </c>
      <c r="G126" s="78">
        <f t="shared" si="20"/>
        <v>227.70077838709483</v>
      </c>
      <c r="H126" s="78">
        <f t="shared" si="20"/>
        <v>-10.45846352513388</v>
      </c>
      <c r="I126" s="78">
        <f t="shared" si="20"/>
        <v>283.91368784113087</v>
      </c>
      <c r="J126" s="77">
        <f t="shared" si="20"/>
        <v>-29.893072733878569</v>
      </c>
      <c r="K126" s="78">
        <f t="shared" si="20"/>
        <v>292.2297367477355</v>
      </c>
      <c r="L126" s="333"/>
      <c r="M126" s="333"/>
      <c r="P126" s="44">
        <v>9.375</v>
      </c>
      <c r="Q126" s="44">
        <v>25</v>
      </c>
      <c r="R126" s="44">
        <v>28</v>
      </c>
      <c r="S126" s="44">
        <f t="shared" si="19"/>
        <v>153.93804002589985</v>
      </c>
      <c r="T126" s="44">
        <v>171.58</v>
      </c>
      <c r="U126" s="44">
        <f t="shared" ref="U126:U129" si="21">S126/(T126*40)*100</f>
        <v>2.2429484792210608</v>
      </c>
      <c r="V126" s="44">
        <f>interp(U126,$Q$121:$Z$121,$Q$122:$Z$122)</f>
        <v>0.52943587833768491</v>
      </c>
    </row>
    <row r="127" spans="1:26" x14ac:dyDescent="0.2">
      <c r="B127" s="422" t="s">
        <v>676</v>
      </c>
      <c r="C127" s="423"/>
      <c r="D127" s="77">
        <f t="shared" ref="D127:K127" si="22">D5</f>
        <v>0</v>
      </c>
      <c r="E127" s="78">
        <f t="shared" si="22"/>
        <v>0</v>
      </c>
      <c r="F127" s="78">
        <f t="shared" si="22"/>
        <v>43.745256777115031</v>
      </c>
      <c r="G127" s="78">
        <f t="shared" si="22"/>
        <v>-39.658329334140184</v>
      </c>
      <c r="H127" s="78">
        <f t="shared" si="22"/>
        <v>70.11561849138198</v>
      </c>
      <c r="I127" s="78">
        <f t="shared" si="22"/>
        <v>-63.565023832545883</v>
      </c>
      <c r="J127" s="77">
        <f t="shared" si="22"/>
        <v>79.170977749466488</v>
      </c>
      <c r="K127" s="78">
        <f t="shared" si="22"/>
        <v>-71.774380598373384</v>
      </c>
      <c r="L127" s="333"/>
      <c r="M127" s="333"/>
      <c r="P127" s="44">
        <v>6.25</v>
      </c>
      <c r="Q127" s="44">
        <v>25</v>
      </c>
      <c r="R127" s="44">
        <v>28</v>
      </c>
      <c r="S127" s="44">
        <f t="shared" si="19"/>
        <v>153.93804002589985</v>
      </c>
      <c r="T127" s="44">
        <v>171.58</v>
      </c>
      <c r="U127" s="44">
        <f t="shared" si="21"/>
        <v>2.2429484792210608</v>
      </c>
      <c r="V127" s="44">
        <f>interp(U127,$Q$121:$Z$121,$Q$122:$Z$122)</f>
        <v>0.52943587833768491</v>
      </c>
    </row>
    <row r="128" spans="1:26" x14ac:dyDescent="0.2">
      <c r="B128" s="162" t="s">
        <v>668</v>
      </c>
      <c r="C128" s="163"/>
      <c r="D128" s="77">
        <f t="shared" ref="D128:K128" si="23">-$B$129%*D126</f>
        <v>-6.1897505387856437</v>
      </c>
      <c r="E128" s="78">
        <f t="shared" si="23"/>
        <v>-6.1897505387856437</v>
      </c>
      <c r="F128" s="78">
        <f t="shared" si="23"/>
        <v>-3.8275948292945539</v>
      </c>
      <c r="G128" s="78">
        <f t="shared" si="23"/>
        <v>-17.129605543701839</v>
      </c>
      <c r="H128" s="78">
        <f t="shared" si="23"/>
        <v>0.78677532877898249</v>
      </c>
      <c r="I128" s="78">
        <f t="shared" si="23"/>
        <v>-21.358422731908863</v>
      </c>
      <c r="J128" s="77">
        <f t="shared" si="23"/>
        <v>2.2488133244324029</v>
      </c>
      <c r="K128" s="78">
        <f t="shared" si="23"/>
        <v>-21.984027257555685</v>
      </c>
      <c r="L128" s="333"/>
      <c r="M128" s="333"/>
      <c r="P128" s="44">
        <v>3.125</v>
      </c>
      <c r="Q128" s="44">
        <v>15</v>
      </c>
      <c r="R128" s="44">
        <v>28</v>
      </c>
      <c r="S128" s="44">
        <f t="shared" si="19"/>
        <v>92.362824015539914</v>
      </c>
      <c r="T128" s="44">
        <v>214.5</v>
      </c>
      <c r="U128" s="44">
        <f t="shared" si="21"/>
        <v>1.0764897903909081</v>
      </c>
      <c r="V128" s="44">
        <f>interp(U128,$Q$121:$Z$121,$Q$122:$Z$122)</f>
        <v>0.4122383664625453</v>
      </c>
    </row>
    <row r="129" spans="1:22" x14ac:dyDescent="0.2">
      <c r="B129" s="164">
        <f>B89</f>
        <v>7.5228577016900857</v>
      </c>
      <c r="C129" s="165"/>
      <c r="D129" s="139"/>
      <c r="E129" s="141"/>
      <c r="F129" s="141"/>
      <c r="G129" s="141"/>
      <c r="H129" s="141"/>
      <c r="I129" s="141"/>
      <c r="J129" s="139"/>
      <c r="K129" s="141"/>
      <c r="L129" s="333"/>
      <c r="M129" s="333"/>
      <c r="P129" s="44">
        <v>0</v>
      </c>
      <c r="Q129" s="101">
        <v>10</v>
      </c>
      <c r="R129" s="44">
        <v>28</v>
      </c>
      <c r="S129" s="44">
        <f t="shared" si="19"/>
        <v>61.575216010359945</v>
      </c>
      <c r="T129" s="44">
        <v>221.5</v>
      </c>
      <c r="U129" s="44">
        <f t="shared" si="21"/>
        <v>0.69497986467674877</v>
      </c>
      <c r="V129" s="44">
        <f>interp(U129,$Q$121:$Z$121,$Q$122:$Z$122)</f>
        <v>0.34899597293534973</v>
      </c>
    </row>
    <row r="130" spans="1:22" s="101" customFormat="1" x14ac:dyDescent="0.2">
      <c r="A130" s="166"/>
      <c r="B130" s="142" t="s">
        <v>669</v>
      </c>
      <c r="C130" s="167"/>
      <c r="D130" s="116">
        <f>SUM(D126:D128)</f>
        <v>76.089494719237166</v>
      </c>
      <c r="E130" s="117">
        <f t="shared" ref="E130:K130" si="24">SUM(E126:E128)</f>
        <v>76.089494719237166</v>
      </c>
      <c r="F130" s="117">
        <f t="shared" si="24"/>
        <v>90.797194448277665</v>
      </c>
      <c r="G130" s="117">
        <f t="shared" si="24"/>
        <v>170.91284350925281</v>
      </c>
      <c r="H130" s="117">
        <f t="shared" si="24"/>
        <v>60.44393029502708</v>
      </c>
      <c r="I130" s="117">
        <f t="shared" si="24"/>
        <v>198.99024127667613</v>
      </c>
      <c r="J130" s="116">
        <f t="shared" si="24"/>
        <v>51.526718340020324</v>
      </c>
      <c r="K130" s="117">
        <f t="shared" si="24"/>
        <v>198.47132889180642</v>
      </c>
      <c r="L130" s="390"/>
      <c r="M130" s="390"/>
    </row>
    <row r="131" spans="1:22" x14ac:dyDescent="0.2">
      <c r="B131" s="162" t="s">
        <v>670</v>
      </c>
      <c r="C131" s="163"/>
      <c r="D131" s="77"/>
      <c r="E131" s="78"/>
      <c r="F131" s="78"/>
      <c r="G131" s="78"/>
      <c r="H131" s="78"/>
      <c r="I131" s="78"/>
      <c r="J131" s="77"/>
      <c r="K131" s="78"/>
      <c r="L131" s="333"/>
      <c r="M131" s="333"/>
    </row>
    <row r="132" spans="1:22" x14ac:dyDescent="0.2">
      <c r="B132" s="162" t="s">
        <v>612</v>
      </c>
      <c r="C132" s="163"/>
      <c r="D132" s="77">
        <f t="shared" ref="D132:K132" si="25">D6</f>
        <v>0.38607142857142857</v>
      </c>
      <c r="E132" s="78">
        <f t="shared" si="25"/>
        <v>-0.38607142857142857</v>
      </c>
      <c r="F132" s="78">
        <f t="shared" si="25"/>
        <v>32.335429680025932</v>
      </c>
      <c r="G132" s="78">
        <f t="shared" si="25"/>
        <v>-29.314472331141062</v>
      </c>
      <c r="H132" s="78">
        <f t="shared" si="25"/>
        <v>52.209302442944463</v>
      </c>
      <c r="I132" s="78">
        <f t="shared" si="25"/>
        <v>-47.331616342716352</v>
      </c>
      <c r="J132" s="77">
        <f t="shared" si="25"/>
        <v>59.881815729153878</v>
      </c>
      <c r="K132" s="78">
        <f t="shared" si="25"/>
        <v>-54.287320369678206</v>
      </c>
      <c r="L132" s="333"/>
      <c r="M132" s="333"/>
    </row>
    <row r="133" spans="1:22" x14ac:dyDescent="0.2">
      <c r="B133" s="162" t="s">
        <v>695</v>
      </c>
      <c r="C133" s="163"/>
      <c r="D133" s="77">
        <f t="shared" ref="D133:K133" si="26">D7</f>
        <v>0.24417374936926717</v>
      </c>
      <c r="E133" s="78">
        <f t="shared" si="26"/>
        <v>-0.52777498801345846</v>
      </c>
      <c r="F133" s="78">
        <f t="shared" si="26"/>
        <v>6.2520106176290158</v>
      </c>
      <c r="G133" s="78">
        <f t="shared" si="26"/>
        <v>-17.250287524465538</v>
      </c>
      <c r="H133" s="78">
        <f t="shared" si="26"/>
        <v>10.129870504430457</v>
      </c>
      <c r="I133" s="78">
        <f t="shared" si="26"/>
        <v>-27.94991715054012</v>
      </c>
      <c r="J133" s="77">
        <f t="shared" si="26"/>
        <v>11.391337874061522</v>
      </c>
      <c r="K133" s="78">
        <f t="shared" si="26"/>
        <v>-31.430505422016779</v>
      </c>
      <c r="L133" s="333"/>
      <c r="M133" s="333"/>
    </row>
    <row r="134" spans="1:22" x14ac:dyDescent="0.2">
      <c r="B134" s="137" t="s">
        <v>671</v>
      </c>
      <c r="C134" s="165"/>
      <c r="D134" s="139">
        <f t="shared" ref="D134:K134" si="27">-$B$135%*D126</f>
        <v>-14.45467818493726</v>
      </c>
      <c r="E134" s="141">
        <f t="shared" si="27"/>
        <v>-14.45467818493726</v>
      </c>
      <c r="F134" s="141">
        <f t="shared" si="27"/>
        <v>-8.9384299307540562</v>
      </c>
      <c r="G134" s="141">
        <f t="shared" si="27"/>
        <v>-40.002086355115708</v>
      </c>
      <c r="H134" s="141">
        <f t="shared" si="27"/>
        <v>1.8373251248312128</v>
      </c>
      <c r="I134" s="141">
        <f t="shared" si="27"/>
        <v>-49.877474898715406</v>
      </c>
      <c r="J134" s="139">
        <f t="shared" si="27"/>
        <v>5.2515642914821834</v>
      </c>
      <c r="K134" s="141">
        <f t="shared" si="27"/>
        <v>-51.33842425888772</v>
      </c>
      <c r="L134" s="333"/>
      <c r="M134" s="333"/>
    </row>
    <row r="135" spans="1:22" s="101" customFormat="1" x14ac:dyDescent="0.2">
      <c r="A135" s="166"/>
      <c r="B135" s="142">
        <f>I114</f>
        <v>17.567830307154921</v>
      </c>
      <c r="C135" s="167"/>
      <c r="D135" s="116"/>
      <c r="E135" s="117"/>
      <c r="F135" s="117"/>
      <c r="G135" s="117"/>
      <c r="H135" s="117"/>
      <c r="I135" s="117"/>
      <c r="J135" s="116"/>
      <c r="K135" s="117"/>
      <c r="L135" s="390"/>
      <c r="M135" s="390"/>
    </row>
    <row r="136" spans="1:22" x14ac:dyDescent="0.2">
      <c r="B136" s="162" t="s">
        <v>672</v>
      </c>
      <c r="C136" s="163"/>
      <c r="D136" s="77">
        <f t="shared" ref="D136:K136" si="28">D8</f>
        <v>0.66076887016638797</v>
      </c>
      <c r="E136" s="78">
        <f t="shared" si="28"/>
        <v>-1.4282341301330141</v>
      </c>
      <c r="F136" s="78">
        <f t="shared" si="28"/>
        <v>9.139159286937673</v>
      </c>
      <c r="G136" s="78">
        <f t="shared" si="28"/>
        <v>-25.21638798677408</v>
      </c>
      <c r="H136" s="78">
        <f t="shared" si="28"/>
        <v>13.245560086374313</v>
      </c>
      <c r="I136" s="78">
        <f t="shared" si="28"/>
        <v>-36.546598188470917</v>
      </c>
      <c r="J136" s="77">
        <f t="shared" si="28"/>
        <v>14.457071540542174</v>
      </c>
      <c r="K136" s="78">
        <f t="shared" si="28"/>
        <v>-39.889350176871176</v>
      </c>
      <c r="L136" s="333"/>
      <c r="M136" s="333"/>
    </row>
    <row r="137" spans="1:22" x14ac:dyDescent="0.2">
      <c r="B137" s="137" t="s">
        <v>673</v>
      </c>
      <c r="C137" s="165"/>
      <c r="D137" s="139">
        <f t="shared" ref="D137:K137" si="29">-$B$138%*D126</f>
        <v>-3.0966337501325083</v>
      </c>
      <c r="E137" s="141">
        <f t="shared" si="29"/>
        <v>-3.0966337501325083</v>
      </c>
      <c r="F137" s="141">
        <f t="shared" si="29"/>
        <v>-1.9148848174019537</v>
      </c>
      <c r="G137" s="141">
        <f t="shared" si="29"/>
        <v>-8.5696692169908761</v>
      </c>
      <c r="H137" s="141">
        <f t="shared" si="29"/>
        <v>0.39361118377907711</v>
      </c>
      <c r="I137" s="141">
        <f t="shared" si="29"/>
        <v>-10.685279199345906</v>
      </c>
      <c r="J137" s="139">
        <f t="shared" si="29"/>
        <v>1.1250455401311328</v>
      </c>
      <c r="K137" s="141">
        <f t="shared" si="29"/>
        <v>-10.998259193646881</v>
      </c>
      <c r="L137" s="333"/>
      <c r="M137" s="333"/>
    </row>
    <row r="138" spans="1:22" x14ac:dyDescent="0.2">
      <c r="B138" s="142">
        <f>I121</f>
        <v>3.7635660614309834</v>
      </c>
      <c r="C138" s="163"/>
      <c r="D138" s="77"/>
      <c r="E138" s="78"/>
      <c r="F138" s="78"/>
      <c r="G138" s="78"/>
      <c r="H138" s="78"/>
      <c r="I138" s="78"/>
      <c r="J138" s="77"/>
      <c r="K138" s="78"/>
      <c r="L138" s="333"/>
      <c r="M138" s="333"/>
    </row>
    <row r="139" spans="1:22" s="68" customFormat="1" x14ac:dyDescent="0.2">
      <c r="A139" s="168"/>
      <c r="B139" s="145" t="s">
        <v>642</v>
      </c>
      <c r="C139" s="169"/>
      <c r="D139" s="147">
        <f>SUM(D130:D138)</f>
        <v>59.829196832274476</v>
      </c>
      <c r="E139" s="106">
        <f t="shared" ref="E139:K139" si="30">SUM(E130:E138)</f>
        <v>56.196102237449495</v>
      </c>
      <c r="F139" s="106">
        <f t="shared" si="30"/>
        <v>127.67047928471429</v>
      </c>
      <c r="G139" s="106">
        <f t="shared" si="30"/>
        <v>50.559940094765537</v>
      </c>
      <c r="H139" s="106">
        <f t="shared" si="30"/>
        <v>138.2595996373866</v>
      </c>
      <c r="I139" s="106">
        <f t="shared" si="30"/>
        <v>26.599355496887426</v>
      </c>
      <c r="J139" s="147">
        <f t="shared" si="30"/>
        <v>143.63355331539125</v>
      </c>
      <c r="K139" s="106">
        <f t="shared" si="30"/>
        <v>10.527469470705654</v>
      </c>
      <c r="L139" s="386"/>
      <c r="M139" s="386"/>
      <c r="P139" s="101"/>
      <c r="Q139" s="101"/>
    </row>
    <row r="140" spans="1:22" x14ac:dyDescent="0.2">
      <c r="L140" s="172"/>
      <c r="M140" s="172"/>
    </row>
    <row r="141" spans="1:22" x14ac:dyDescent="0.2">
      <c r="B141" s="44" t="s">
        <v>678</v>
      </c>
      <c r="L141" s="172"/>
      <c r="M141" s="172"/>
    </row>
    <row r="142" spans="1:22" x14ac:dyDescent="0.2">
      <c r="A142" s="67">
        <v>1</v>
      </c>
      <c r="B142" s="44" t="s">
        <v>687</v>
      </c>
      <c r="L142" s="172"/>
      <c r="M142" s="172"/>
    </row>
    <row r="143" spans="1:22" x14ac:dyDescent="0.2">
      <c r="A143" s="67" t="s">
        <v>11</v>
      </c>
      <c r="B143" s="44" t="s">
        <v>679</v>
      </c>
      <c r="L143" s="172"/>
      <c r="M143" s="172"/>
    </row>
    <row r="144" spans="1:22" ht="12.55" x14ac:dyDescent="0.2">
      <c r="C144" s="68">
        <v>200</v>
      </c>
      <c r="D144" s="44" t="s">
        <v>879</v>
      </c>
      <c r="E144" s="68">
        <v>0.5</v>
      </c>
      <c r="F144" s="44" t="s">
        <v>680</v>
      </c>
      <c r="L144" s="172"/>
      <c r="M144" s="172"/>
    </row>
    <row r="145" spans="1:13" x14ac:dyDescent="0.2">
      <c r="B145" s="44" t="s">
        <v>681</v>
      </c>
      <c r="C145" s="44" t="s">
        <v>682</v>
      </c>
      <c r="L145" s="172"/>
      <c r="M145" s="172"/>
    </row>
    <row r="146" spans="1:13" ht="12.55" x14ac:dyDescent="0.2">
      <c r="C146" s="68">
        <f>0.5*fck*10</f>
        <v>250</v>
      </c>
      <c r="D146" s="44" t="s">
        <v>880</v>
      </c>
      <c r="L146" s="172"/>
      <c r="M146" s="172"/>
    </row>
    <row r="147" spans="1:13" ht="12.55" x14ac:dyDescent="0.2">
      <c r="B147" s="44" t="s">
        <v>683</v>
      </c>
      <c r="H147" s="44" t="s">
        <v>24</v>
      </c>
      <c r="I147" s="100">
        <f>MAX(D130:M130)</f>
        <v>198.99024127667613</v>
      </c>
      <c r="J147" s="44" t="s">
        <v>880</v>
      </c>
      <c r="K147" s="68" t="str">
        <f>IF(I147&lt;MIN(C144,C146),"safe","unsafe")</f>
        <v>safe</v>
      </c>
      <c r="L147" s="172"/>
      <c r="M147" s="172"/>
    </row>
    <row r="148" spans="1:13" x14ac:dyDescent="0.2">
      <c r="A148" s="67" t="s">
        <v>428</v>
      </c>
      <c r="B148" s="44" t="s">
        <v>684</v>
      </c>
      <c r="I148" s="157"/>
      <c r="L148" s="172"/>
      <c r="M148" s="172"/>
    </row>
    <row r="149" spans="1:13" x14ac:dyDescent="0.2">
      <c r="C149" s="170">
        <f>1/10</f>
        <v>0.1</v>
      </c>
      <c r="D149" s="44" t="s">
        <v>685</v>
      </c>
      <c r="I149" s="157"/>
      <c r="L149" s="172"/>
      <c r="M149" s="172"/>
    </row>
    <row r="150" spans="1:13" ht="12.55" x14ac:dyDescent="0.2">
      <c r="C150" s="44">
        <f>-0.1*MIN(C144,C146)</f>
        <v>-20</v>
      </c>
      <c r="D150" s="44" t="s">
        <v>880</v>
      </c>
      <c r="I150" s="157"/>
      <c r="L150" s="172"/>
      <c r="M150" s="172"/>
    </row>
    <row r="151" spans="1:13" x14ac:dyDescent="0.2">
      <c r="I151" s="157"/>
      <c r="L151" s="172"/>
      <c r="M151" s="172"/>
    </row>
    <row r="152" spans="1:13" ht="12.55" x14ac:dyDescent="0.2">
      <c r="B152" s="44" t="s">
        <v>686</v>
      </c>
      <c r="H152" s="44" t="s">
        <v>24</v>
      </c>
      <c r="I152" s="100">
        <f>MIN(D130:M130)</f>
        <v>51.526718340020324</v>
      </c>
      <c r="J152" s="44" t="s">
        <v>880</v>
      </c>
      <c r="K152" s="68" t="str">
        <f>IF(OR(I152&gt;C150,I152&gt;0),"safe","unsafe")</f>
        <v>safe</v>
      </c>
      <c r="L152" s="172"/>
      <c r="M152" s="172"/>
    </row>
    <row r="153" spans="1:13" x14ac:dyDescent="0.2">
      <c r="I153" s="157"/>
      <c r="L153" s="172"/>
      <c r="M153" s="172"/>
    </row>
    <row r="154" spans="1:13" x14ac:dyDescent="0.2">
      <c r="A154" s="67">
        <v>2</v>
      </c>
      <c r="B154" s="44" t="s">
        <v>688</v>
      </c>
      <c r="I154" s="157"/>
      <c r="L154" s="172"/>
      <c r="M154" s="172"/>
    </row>
    <row r="155" spans="1:13" x14ac:dyDescent="0.2">
      <c r="A155" s="67" t="s">
        <v>11</v>
      </c>
      <c r="B155" s="44" t="s">
        <v>690</v>
      </c>
      <c r="I155" s="157"/>
      <c r="L155" s="172"/>
      <c r="M155" s="172"/>
    </row>
    <row r="156" spans="1:13" x14ac:dyDescent="0.2">
      <c r="D156" s="68">
        <v>0.33</v>
      </c>
      <c r="E156" s="44" t="s">
        <v>592</v>
      </c>
      <c r="I156" s="157"/>
      <c r="L156" s="172"/>
      <c r="M156" s="172"/>
    </row>
    <row r="157" spans="1:13" ht="12.55" x14ac:dyDescent="0.2">
      <c r="D157" s="68">
        <f>D156*fck*10</f>
        <v>165</v>
      </c>
      <c r="E157" s="44" t="s">
        <v>880</v>
      </c>
      <c r="I157" s="157"/>
      <c r="L157" s="172"/>
      <c r="M157" s="172"/>
    </row>
    <row r="158" spans="1:13" ht="12.55" x14ac:dyDescent="0.2">
      <c r="B158" s="44" t="s">
        <v>683</v>
      </c>
      <c r="H158" s="44" t="s">
        <v>24</v>
      </c>
      <c r="I158" s="100">
        <f>MAX(D139:M139)</f>
        <v>143.63355331539125</v>
      </c>
      <c r="J158" s="44" t="s">
        <v>880</v>
      </c>
      <c r="K158" s="68" t="str">
        <f>IF(I158&lt;D157,"safe","unsafe")</f>
        <v>safe</v>
      </c>
      <c r="L158" s="172"/>
      <c r="M158" s="172"/>
    </row>
    <row r="159" spans="1:13" x14ac:dyDescent="0.2">
      <c r="L159" s="172"/>
      <c r="M159" s="172"/>
    </row>
    <row r="160" spans="1:13" x14ac:dyDescent="0.2">
      <c r="A160" s="67" t="s">
        <v>428</v>
      </c>
      <c r="B160" s="44" t="s">
        <v>689</v>
      </c>
      <c r="L160" s="172"/>
      <c r="M160" s="172"/>
    </row>
    <row r="161" spans="1:13" ht="12.55" x14ac:dyDescent="0.2">
      <c r="C161" s="170"/>
      <c r="D161" s="68">
        <v>0</v>
      </c>
      <c r="E161" s="44" t="s">
        <v>880</v>
      </c>
      <c r="L161" s="172"/>
      <c r="M161" s="172"/>
    </row>
    <row r="162" spans="1:13" ht="12.55" x14ac:dyDescent="0.2">
      <c r="B162" s="44" t="s">
        <v>686</v>
      </c>
      <c r="H162" s="44" t="s">
        <v>24</v>
      </c>
      <c r="I162" s="100">
        <f>MIN(D139:M139)</f>
        <v>10.527469470705654</v>
      </c>
      <c r="J162" s="44" t="s">
        <v>880</v>
      </c>
      <c r="K162" s="68" t="str">
        <f>IF(I162&gt;0,"safe","unsafe")</f>
        <v>safe</v>
      </c>
      <c r="L162" s="172"/>
      <c r="M162" s="172"/>
    </row>
    <row r="163" spans="1:13" x14ac:dyDescent="0.2">
      <c r="L163" s="172"/>
      <c r="M163" s="172"/>
    </row>
    <row r="164" spans="1:13" x14ac:dyDescent="0.2">
      <c r="B164" s="68" t="s">
        <v>722</v>
      </c>
      <c r="L164" s="172"/>
      <c r="M164" s="172"/>
    </row>
    <row r="165" spans="1:13" x14ac:dyDescent="0.2">
      <c r="A165" s="67">
        <v>1</v>
      </c>
      <c r="B165" s="44" t="s">
        <v>723</v>
      </c>
      <c r="L165" s="172"/>
      <c r="M165" s="172"/>
    </row>
    <row r="166" spans="1:13" ht="11.9" x14ac:dyDescent="0.25">
      <c r="B166" s="44" t="s">
        <v>881</v>
      </c>
      <c r="C166" s="44" t="s">
        <v>24</v>
      </c>
      <c r="D166" s="44" t="s">
        <v>882</v>
      </c>
      <c r="L166" s="172"/>
      <c r="M166" s="172"/>
    </row>
    <row r="167" spans="1:13" x14ac:dyDescent="0.2">
      <c r="B167" s="44" t="s">
        <v>724</v>
      </c>
      <c r="C167" s="44" t="s">
        <v>24</v>
      </c>
      <c r="D167" s="44" t="s">
        <v>725</v>
      </c>
      <c r="L167" s="172"/>
      <c r="M167" s="172"/>
    </row>
    <row r="168" spans="1:13" x14ac:dyDescent="0.2">
      <c r="B168" s="44" t="s">
        <v>709</v>
      </c>
      <c r="C168" s="44" t="s">
        <v>24</v>
      </c>
      <c r="D168" s="44" t="s">
        <v>726</v>
      </c>
      <c r="L168" s="172"/>
      <c r="M168" s="172"/>
    </row>
    <row r="169" spans="1:13" x14ac:dyDescent="0.2">
      <c r="B169" s="44" t="s">
        <v>727</v>
      </c>
      <c r="C169" s="44" t="s">
        <v>24</v>
      </c>
      <c r="D169" s="44" t="s">
        <v>728</v>
      </c>
      <c r="L169" s="172"/>
      <c r="M169" s="172"/>
    </row>
    <row r="170" spans="1:13" x14ac:dyDescent="0.2">
      <c r="L170" s="172"/>
      <c r="M170" s="172"/>
    </row>
    <row r="171" spans="1:13" x14ac:dyDescent="0.2">
      <c r="A171" s="67">
        <v>2</v>
      </c>
      <c r="B171" s="44" t="s">
        <v>729</v>
      </c>
      <c r="L171" s="172"/>
      <c r="M171" s="172"/>
    </row>
    <row r="172" spans="1:13" ht="13.15" x14ac:dyDescent="0.25">
      <c r="B172" s="44" t="s">
        <v>883</v>
      </c>
      <c r="C172" s="44" t="s">
        <v>24</v>
      </c>
      <c r="D172" s="44" t="s">
        <v>884</v>
      </c>
      <c r="L172" s="172"/>
      <c r="M172" s="172"/>
    </row>
    <row r="173" spans="1:13" x14ac:dyDescent="0.2">
      <c r="B173" s="44" t="s">
        <v>428</v>
      </c>
      <c r="C173" s="44" t="s">
        <v>24</v>
      </c>
      <c r="D173" s="44" t="s">
        <v>730</v>
      </c>
      <c r="L173" s="172"/>
      <c r="M173" s="172"/>
    </row>
    <row r="174" spans="1:13" ht="11.9" x14ac:dyDescent="0.25">
      <c r="B174" s="44" t="s">
        <v>885</v>
      </c>
      <c r="C174" s="44" t="s">
        <v>24</v>
      </c>
      <c r="D174" s="44" t="s">
        <v>731</v>
      </c>
      <c r="L174" s="172"/>
      <c r="M174" s="172"/>
    </row>
    <row r="175" spans="1:13" x14ac:dyDescent="0.2">
      <c r="B175" s="44" t="s">
        <v>431</v>
      </c>
      <c r="C175" s="44" t="s">
        <v>24</v>
      </c>
      <c r="D175" s="44" t="s">
        <v>732</v>
      </c>
      <c r="L175" s="172"/>
      <c r="M175" s="172"/>
    </row>
    <row r="176" spans="1:13" x14ac:dyDescent="0.2">
      <c r="H176" s="172"/>
      <c r="L176" s="172"/>
      <c r="M176" s="172"/>
    </row>
    <row r="177" spans="1:13" x14ac:dyDescent="0.2">
      <c r="B177" s="71" t="s">
        <v>629</v>
      </c>
      <c r="C177" s="112"/>
      <c r="D177" s="104">
        <f>D47</f>
        <v>0</v>
      </c>
      <c r="E177" s="104">
        <f t="shared" ref="E177:G177" si="31">E47</f>
        <v>5</v>
      </c>
      <c r="F177" s="104">
        <f t="shared" si="31"/>
        <v>10</v>
      </c>
      <c r="G177" s="404">
        <f t="shared" si="31"/>
        <v>15</v>
      </c>
      <c r="H177" s="387"/>
      <c r="L177" s="172"/>
      <c r="M177" s="172"/>
    </row>
    <row r="178" spans="1:13" ht="12.55" x14ac:dyDescent="0.2">
      <c r="B178" s="75" t="s">
        <v>886</v>
      </c>
      <c r="C178" s="127"/>
      <c r="D178" s="144">
        <f>Aps*no/100^2</f>
        <v>8.9999999999999993E-3</v>
      </c>
      <c r="E178" s="144">
        <f>Aps*no/100^2</f>
        <v>8.9999999999999993E-3</v>
      </c>
      <c r="F178" s="144">
        <f>Aps*no/100^2</f>
        <v>8.9999999999999993E-3</v>
      </c>
      <c r="G178" s="96">
        <f>Aps*no/100^2</f>
        <v>8.9999999999999993E-3</v>
      </c>
      <c r="H178" s="392"/>
      <c r="L178" s="172"/>
      <c r="M178" s="172"/>
    </row>
    <row r="179" spans="1:13" ht="12.55" x14ac:dyDescent="0.2">
      <c r="B179" s="75" t="s">
        <v>887</v>
      </c>
      <c r="C179" s="127"/>
      <c r="D179" s="78">
        <f>fp*100</f>
        <v>186000</v>
      </c>
      <c r="E179" s="78">
        <f>fp*100</f>
        <v>186000</v>
      </c>
      <c r="F179" s="78">
        <f>fp*100</f>
        <v>186000</v>
      </c>
      <c r="G179" s="77">
        <f>fp*100</f>
        <v>186000</v>
      </c>
      <c r="H179" s="333"/>
      <c r="L179" s="172"/>
      <c r="M179" s="172"/>
    </row>
    <row r="180" spans="1:13" ht="11.9" x14ac:dyDescent="0.25">
      <c r="B180" s="75" t="s">
        <v>888</v>
      </c>
      <c r="C180" s="127"/>
      <c r="D180" s="78">
        <f>(D+ds-HLOOKUP(tspan/2-D177,first,no+2))/100</f>
        <v>1.1499999999999999</v>
      </c>
      <c r="E180" s="78">
        <f>(D+ds-HLOOKUP(tspan/2-E177,first,no+2))/100</f>
        <v>1.43640693750267</v>
      </c>
      <c r="F180" s="78">
        <f>(D+ds-HLOOKUP(tspan/2-F177,first,no+2))/100</f>
        <v>1.5966017343756675</v>
      </c>
      <c r="G180" s="77">
        <f>(D+ds-HLOOKUP(tspan/2-G177,first,no+2))/100</f>
        <v>1.65</v>
      </c>
      <c r="H180" s="333"/>
      <c r="L180" s="172"/>
      <c r="M180" s="172"/>
    </row>
    <row r="181" spans="1:13" ht="11.9" x14ac:dyDescent="0.25">
      <c r="B181" s="75" t="s">
        <v>881</v>
      </c>
      <c r="C181" s="127"/>
      <c r="D181" s="106">
        <f>0.9*D178*D179*D180</f>
        <v>1732.5899999999997</v>
      </c>
      <c r="E181" s="106">
        <f t="shared" ref="E181:G181" si="32">0.9*E178*E179*E180</f>
        <v>2164.0906920415223</v>
      </c>
      <c r="F181" s="106">
        <f t="shared" si="32"/>
        <v>2405.4401730103805</v>
      </c>
      <c r="G181" s="147">
        <f t="shared" si="32"/>
        <v>2485.89</v>
      </c>
      <c r="H181" s="386"/>
      <c r="L181" s="172"/>
      <c r="M181" s="172"/>
    </row>
    <row r="182" spans="1:13" x14ac:dyDescent="0.2">
      <c r="B182" s="75" t="s">
        <v>733</v>
      </c>
      <c r="C182" s="127"/>
      <c r="D182" s="78">
        <f>IF(D47=0,bbf,bw)/100</f>
        <v>0.7</v>
      </c>
      <c r="E182" s="78">
        <f>IF(E47=0,bbf,bw)/100</f>
        <v>0.3</v>
      </c>
      <c r="F182" s="78">
        <f>IF(F47=0,bbf,bw)/100</f>
        <v>0.3</v>
      </c>
      <c r="G182" s="77">
        <f>IF(G47=0,bbf,bw)/100</f>
        <v>0.3</v>
      </c>
      <c r="H182" s="333"/>
      <c r="L182" s="172"/>
      <c r="M182" s="172"/>
    </row>
    <row r="183" spans="1:13" ht="11.9" x14ac:dyDescent="0.25">
      <c r="B183" s="75" t="s">
        <v>889</v>
      </c>
      <c r="C183" s="127"/>
      <c r="D183" s="78">
        <f>btf/100</f>
        <v>0.7</v>
      </c>
      <c r="E183" s="78">
        <f>btf/100</f>
        <v>0.7</v>
      </c>
      <c r="F183" s="78">
        <f>btf/100</f>
        <v>0.7</v>
      </c>
      <c r="G183" s="77">
        <f>btf/100</f>
        <v>0.7</v>
      </c>
      <c r="H183" s="333"/>
      <c r="L183" s="172"/>
      <c r="M183" s="172"/>
    </row>
    <row r="184" spans="1:13" x14ac:dyDescent="0.2">
      <c r="B184" s="75" t="s">
        <v>734</v>
      </c>
      <c r="C184" s="127"/>
      <c r="D184" s="78">
        <f>(('Girder Property'!$B$107-'Girder Property'!$B$106)+('Girder Property'!$B$106-'Girder Property'!$B$105)/2)/100+ds/100</f>
        <v>0.47499999999999998</v>
      </c>
      <c r="E184" s="78">
        <f>(('Girder Property'!$B$107-'Girder Property'!$B$106)+('Girder Property'!$B$106-'Girder Property'!$B$105)/2)/100+ds/100</f>
        <v>0.47499999999999998</v>
      </c>
      <c r="F184" s="78">
        <f>(('Girder Property'!$B$107-'Girder Property'!$B$106)+('Girder Property'!$B$106-'Girder Property'!$B$105)/2)/100+ds/100</f>
        <v>0.47499999999999998</v>
      </c>
      <c r="G184" s="77">
        <f>(('Girder Property'!$B$107-'Girder Property'!$B$106)+('Girder Property'!$B$106-'Girder Property'!$B$105)/2)/100+ds/100</f>
        <v>0.47499999999999998</v>
      </c>
      <c r="H184" s="333"/>
      <c r="L184" s="172"/>
      <c r="M184" s="172"/>
    </row>
    <row r="185" spans="1:13" ht="11.9" x14ac:dyDescent="0.25">
      <c r="A185" s="171"/>
      <c r="B185" s="75" t="s">
        <v>890</v>
      </c>
      <c r="C185" s="127"/>
      <c r="D185" s="106">
        <f>0.176*D182*D180^2*fck*100+2/3*0.8*(D183-D182)*(D180-D184/2)*D184*fck*100</f>
        <v>814.65999999999974</v>
      </c>
      <c r="E185" s="106">
        <f>0.176*E182*E180^2*fck*100+2/3*0.8*(E183-E182)*(E180-E184/2)*E184*fck*100</f>
        <v>1152.1481126559502</v>
      </c>
      <c r="F185" s="106">
        <f>0.176*F182*F180^2*fck*100+2/3*0.8*(F183-F182)*(F180-F184/2)*F184*fck*100</f>
        <v>1361.5837393448116</v>
      </c>
      <c r="G185" s="147">
        <f>0.176*G182*G180^2*fck*100+2/3*0.8*(G183-G182)*(G180-G184/2)*G184*fck*100</f>
        <v>1434.4066666666663</v>
      </c>
      <c r="H185" s="386"/>
      <c r="I185" s="172"/>
      <c r="J185" s="172"/>
      <c r="L185" s="172"/>
      <c r="M185" s="172"/>
    </row>
    <row r="186" spans="1:13" ht="11.9" x14ac:dyDescent="0.25">
      <c r="A186" s="171"/>
      <c r="B186" s="75" t="s">
        <v>891</v>
      </c>
      <c r="C186" s="127"/>
      <c r="D186" s="106">
        <f>MIN(D181,D185)</f>
        <v>814.65999999999974</v>
      </c>
      <c r="E186" s="106">
        <f t="shared" ref="E186:G186" si="33">MIN(E181,E185)</f>
        <v>1152.1481126559502</v>
      </c>
      <c r="F186" s="106">
        <f t="shared" si="33"/>
        <v>1361.5837393448116</v>
      </c>
      <c r="G186" s="147">
        <f t="shared" si="33"/>
        <v>1434.4066666666663</v>
      </c>
      <c r="H186" s="386"/>
      <c r="I186" s="172"/>
      <c r="J186" s="172"/>
      <c r="L186" s="172"/>
      <c r="M186" s="172"/>
    </row>
    <row r="187" spans="1:13" ht="11.9" x14ac:dyDescent="0.25">
      <c r="A187" s="171"/>
      <c r="B187" s="75" t="s">
        <v>892</v>
      </c>
      <c r="C187" s="127"/>
      <c r="D187" s="106">
        <f>(1.5*(HLOOKUP(D177,BM,2)+HLOOKUP(D177,BM,3))+2*HLOOKUP(D177,BM,4)+2.5*HLOOKUP(D177,BM,5))/1000</f>
        <v>31.147479999999995</v>
      </c>
      <c r="E187" s="106">
        <f>(1.5*(HLOOKUP(E177,BM,2)+HLOOKUP(E177,BM,3))+2*HLOOKUP(E177,BM,4)+2.5*HLOOKUP(E177,BM,5))/1000</f>
        <v>823.0814064217617</v>
      </c>
      <c r="F187" s="106">
        <f>(1.5*(HLOOKUP(F177,BM,2)+HLOOKUP(F177,BM,3))+2*HLOOKUP(F177,BM,4)+2.5*HLOOKUP(F177,BM,5))/1000</f>
        <v>1275.3673692748189</v>
      </c>
      <c r="G187" s="147">
        <f>(1.5*(HLOOKUP(G177,BM,2)+HLOOKUP(G177,BM,3))+2*HLOOKUP(G177,BM,4)+2.5*HLOOKUP(G177,BM,5))/1000</f>
        <v>1425.5754435591712</v>
      </c>
      <c r="H187" s="386"/>
      <c r="I187" s="172"/>
      <c r="J187" s="172"/>
      <c r="L187" s="172"/>
      <c r="M187" s="172"/>
    </row>
    <row r="188" spans="1:13" x14ac:dyDescent="0.2">
      <c r="A188" s="171"/>
      <c r="B188" s="75" t="s">
        <v>741</v>
      </c>
      <c r="C188" s="127"/>
      <c r="D188" s="173" t="str">
        <f>IF(D186&gt;D187,"Safe","""Unsafe")</f>
        <v>Safe</v>
      </c>
      <c r="E188" s="173" t="str">
        <f t="shared" ref="E188:G188" si="34">IF(E186&gt;E187,"Safe","""Unsafe")</f>
        <v>Safe</v>
      </c>
      <c r="F188" s="173" t="str">
        <f t="shared" si="34"/>
        <v>Safe</v>
      </c>
      <c r="G188" s="105" t="str">
        <f t="shared" si="34"/>
        <v>Safe</v>
      </c>
      <c r="H188" s="387"/>
      <c r="I188" s="172"/>
      <c r="J188" s="172"/>
      <c r="L188" s="172"/>
      <c r="M188" s="172"/>
    </row>
    <row r="189" spans="1:13" x14ac:dyDescent="0.2">
      <c r="A189" s="171"/>
      <c r="B189" s="172"/>
      <c r="C189" s="172"/>
      <c r="D189" s="172"/>
      <c r="E189" s="172"/>
      <c r="F189" s="172"/>
      <c r="G189" s="172"/>
      <c r="H189" s="172"/>
      <c r="I189" s="172"/>
      <c r="J189" s="172"/>
      <c r="L189" s="172"/>
      <c r="M189" s="172"/>
    </row>
    <row r="190" spans="1:13" x14ac:dyDescent="0.2">
      <c r="A190" s="172"/>
      <c r="B190" s="172"/>
      <c r="C190" s="174" t="s">
        <v>450</v>
      </c>
      <c r="D190" s="172"/>
      <c r="E190" s="171"/>
      <c r="F190" s="172"/>
      <c r="G190" s="172"/>
      <c r="H190" s="172"/>
      <c r="I190" s="172"/>
      <c r="J190" s="172"/>
      <c r="L190" s="172"/>
      <c r="M190" s="172"/>
    </row>
    <row r="191" spans="1:13" x14ac:dyDescent="0.2">
      <c r="A191" s="172"/>
      <c r="B191" s="172"/>
      <c r="C191" s="172"/>
      <c r="D191" s="172"/>
      <c r="E191" s="171" t="s">
        <v>83</v>
      </c>
      <c r="F191" s="172" t="s">
        <v>132</v>
      </c>
      <c r="G191" s="172"/>
      <c r="H191" s="172"/>
      <c r="I191" s="172"/>
      <c r="J191" s="172"/>
      <c r="L191" s="172"/>
      <c r="M191" s="172"/>
    </row>
    <row r="192" spans="1:13" x14ac:dyDescent="0.2">
      <c r="A192" s="172"/>
      <c r="B192" s="172"/>
      <c r="C192" s="421" t="s">
        <v>84</v>
      </c>
      <c r="D192" s="421"/>
      <c r="E192" s="421"/>
      <c r="F192" s="421"/>
      <c r="G192" s="421"/>
      <c r="H192" s="421"/>
      <c r="I192" s="421"/>
      <c r="J192" s="172"/>
      <c r="L192" s="172"/>
      <c r="M192" s="172"/>
    </row>
    <row r="193" spans="1:14" x14ac:dyDescent="0.2">
      <c r="A193" s="172"/>
      <c r="B193" s="172"/>
      <c r="C193" s="421"/>
      <c r="D193" s="421"/>
      <c r="E193" s="421"/>
      <c r="F193" s="421"/>
      <c r="G193" s="421"/>
      <c r="H193" s="421"/>
      <c r="I193" s="421"/>
      <c r="J193" s="172"/>
      <c r="L193" s="172"/>
      <c r="M193" s="172"/>
    </row>
    <row r="194" spans="1:14" x14ac:dyDescent="0.2">
      <c r="A194" s="172"/>
      <c r="B194" s="172"/>
      <c r="C194" s="421"/>
      <c r="D194" s="421"/>
      <c r="E194" s="421"/>
      <c r="F194" s="421"/>
      <c r="G194" s="421"/>
      <c r="H194" s="421"/>
      <c r="I194" s="421"/>
      <c r="J194" s="172"/>
    </row>
    <row r="195" spans="1:14" x14ac:dyDescent="0.2">
      <c r="A195" s="172"/>
      <c r="B195" s="172"/>
      <c r="C195" s="172"/>
      <c r="D195" s="172" t="s">
        <v>85</v>
      </c>
      <c r="E195" s="172"/>
      <c r="F195" s="172"/>
      <c r="G195" s="172"/>
      <c r="H195" s="172"/>
      <c r="I195" s="172" t="s">
        <v>763</v>
      </c>
      <c r="J195" s="172"/>
    </row>
    <row r="196" spans="1:14" x14ac:dyDescent="0.2">
      <c r="A196" s="172"/>
      <c r="B196" s="172"/>
      <c r="C196" s="172"/>
      <c r="D196" s="172" t="s">
        <v>86</v>
      </c>
      <c r="E196" s="172"/>
      <c r="F196" s="172"/>
      <c r="G196" s="172"/>
      <c r="H196" s="172"/>
      <c r="I196" s="172"/>
      <c r="J196" s="172"/>
    </row>
    <row r="197" spans="1:14" x14ac:dyDescent="0.2">
      <c r="A197" s="172"/>
      <c r="B197" s="172"/>
      <c r="C197" s="172"/>
      <c r="D197" s="172" t="s">
        <v>86</v>
      </c>
      <c r="E197" s="172" t="s">
        <v>24</v>
      </c>
      <c r="F197" s="172" t="s">
        <v>828</v>
      </c>
      <c r="G197" s="172"/>
      <c r="H197" s="172"/>
      <c r="I197" s="172"/>
      <c r="J197" s="172"/>
    </row>
    <row r="198" spans="1:14" x14ac:dyDescent="0.2">
      <c r="A198" s="172"/>
      <c r="B198" s="172"/>
      <c r="C198" s="172"/>
      <c r="D198" s="172" t="s">
        <v>428</v>
      </c>
      <c r="E198" s="172" t="s">
        <v>24</v>
      </c>
      <c r="F198" s="172" t="s">
        <v>829</v>
      </c>
      <c r="G198" s="172"/>
      <c r="H198" s="172"/>
      <c r="I198" s="172"/>
      <c r="J198" s="172"/>
    </row>
    <row r="199" spans="1:14" x14ac:dyDescent="0.2">
      <c r="A199" s="172"/>
      <c r="B199" s="172"/>
      <c r="C199" s="172"/>
      <c r="D199" s="172"/>
      <c r="E199" s="172"/>
      <c r="F199" s="172"/>
      <c r="G199" s="172"/>
      <c r="H199" s="172"/>
      <c r="I199" s="172"/>
      <c r="J199" s="172"/>
    </row>
    <row r="200" spans="1:14" ht="11.9" x14ac:dyDescent="0.25">
      <c r="A200" s="172"/>
      <c r="B200" s="172"/>
      <c r="C200" s="172"/>
      <c r="D200" s="172"/>
      <c r="E200" s="175" t="s">
        <v>893</v>
      </c>
      <c r="F200" s="172" t="s">
        <v>827</v>
      </c>
      <c r="G200" s="172"/>
      <c r="H200" s="172"/>
      <c r="I200" s="172"/>
      <c r="J200" s="172"/>
    </row>
    <row r="201" spans="1:14" ht="12.55" x14ac:dyDescent="0.2">
      <c r="A201" s="172"/>
      <c r="B201" s="172"/>
      <c r="C201" s="172"/>
      <c r="D201" s="172"/>
      <c r="E201" s="172"/>
      <c r="F201" s="176">
        <f>0.24*SQRT(fck)*100</f>
        <v>169.70562748477141</v>
      </c>
      <c r="G201" s="172" t="s">
        <v>894</v>
      </c>
      <c r="H201" s="172"/>
      <c r="I201" s="172"/>
      <c r="J201" s="172"/>
      <c r="N201" s="44" t="s">
        <v>131</v>
      </c>
    </row>
    <row r="202" spans="1:14" x14ac:dyDescent="0.2">
      <c r="A202" s="172"/>
      <c r="B202" s="172"/>
      <c r="C202" s="172"/>
      <c r="D202" s="172"/>
      <c r="E202" s="171" t="s">
        <v>87</v>
      </c>
      <c r="F202" s="172" t="s">
        <v>88</v>
      </c>
      <c r="G202" s="172"/>
      <c r="H202" s="172"/>
      <c r="I202" s="172"/>
      <c r="J202" s="172"/>
    </row>
    <row r="203" spans="1:14" x14ac:dyDescent="0.2">
      <c r="A203" s="172"/>
      <c r="B203" s="172"/>
      <c r="C203" s="172"/>
      <c r="D203" s="172"/>
      <c r="E203" s="171" t="s">
        <v>89</v>
      </c>
      <c r="F203" s="172" t="s">
        <v>90</v>
      </c>
      <c r="G203" s="172"/>
      <c r="H203" s="172"/>
      <c r="I203" s="172"/>
      <c r="J203" s="172"/>
    </row>
    <row r="204" spans="1:14" x14ac:dyDescent="0.2">
      <c r="A204" s="172"/>
      <c r="B204" s="172"/>
      <c r="C204" s="172"/>
      <c r="D204" s="172" t="s">
        <v>91</v>
      </c>
      <c r="E204" s="172"/>
      <c r="F204" s="172"/>
      <c r="G204" s="172"/>
      <c r="H204" s="172"/>
      <c r="I204" s="172"/>
      <c r="J204" s="172"/>
    </row>
    <row r="205" spans="1:14" x14ac:dyDescent="0.2">
      <c r="A205" s="172"/>
      <c r="B205" s="172"/>
      <c r="C205" s="172"/>
      <c r="D205" s="172" t="s">
        <v>92</v>
      </c>
      <c r="E205" s="172"/>
      <c r="F205" s="172"/>
      <c r="G205" s="172"/>
      <c r="H205" s="172"/>
      <c r="I205" s="172"/>
      <c r="J205" s="172"/>
    </row>
    <row r="206" spans="1:14" x14ac:dyDescent="0.2">
      <c r="A206" s="172"/>
      <c r="B206" s="172"/>
      <c r="C206" s="172"/>
      <c r="D206" s="172" t="s">
        <v>93</v>
      </c>
      <c r="E206" s="421" t="s">
        <v>94</v>
      </c>
      <c r="F206" s="421"/>
      <c r="G206" s="421"/>
      <c r="H206" s="421"/>
      <c r="I206" s="421"/>
      <c r="J206" s="421"/>
    </row>
    <row r="207" spans="1:14" x14ac:dyDescent="0.2">
      <c r="A207" s="172"/>
      <c r="B207" s="172"/>
      <c r="C207" s="172"/>
      <c r="D207" s="172"/>
      <c r="E207" s="421"/>
      <c r="F207" s="421"/>
      <c r="G207" s="421"/>
      <c r="H207" s="421"/>
      <c r="I207" s="421"/>
      <c r="J207" s="421"/>
    </row>
    <row r="208" spans="1:14" x14ac:dyDescent="0.2">
      <c r="A208" s="172"/>
      <c r="B208" s="172"/>
      <c r="C208" s="172"/>
      <c r="D208" s="172" t="s">
        <v>95</v>
      </c>
      <c r="E208" s="172" t="s">
        <v>96</v>
      </c>
      <c r="F208" s="172"/>
      <c r="G208" s="172"/>
      <c r="H208" s="172"/>
      <c r="I208" s="172"/>
      <c r="J208" s="172"/>
    </row>
    <row r="209" spans="1:12" x14ac:dyDescent="0.2">
      <c r="A209" s="172"/>
      <c r="B209" s="172"/>
      <c r="C209" s="172"/>
      <c r="D209" s="172"/>
      <c r="E209" s="172"/>
      <c r="F209" s="172"/>
      <c r="G209" s="172"/>
      <c r="H209" s="172"/>
      <c r="I209" s="172"/>
      <c r="J209" s="172"/>
    </row>
    <row r="210" spans="1:12" x14ac:dyDescent="0.2">
      <c r="A210" s="172"/>
      <c r="B210" s="172"/>
      <c r="C210" s="172"/>
      <c r="D210" s="172" t="s">
        <v>97</v>
      </c>
      <c r="E210" s="421" t="s">
        <v>98</v>
      </c>
      <c r="F210" s="421"/>
      <c r="G210" s="421"/>
      <c r="H210" s="421"/>
      <c r="I210" s="421"/>
      <c r="J210" s="421"/>
    </row>
    <row r="211" spans="1:12" x14ac:dyDescent="0.2">
      <c r="A211" s="172"/>
      <c r="B211" s="172"/>
      <c r="C211" s="172"/>
      <c r="D211" s="172"/>
      <c r="E211" s="421"/>
      <c r="F211" s="421"/>
      <c r="G211" s="421"/>
      <c r="H211" s="421"/>
      <c r="I211" s="421"/>
      <c r="J211" s="421"/>
    </row>
    <row r="212" spans="1:12" x14ac:dyDescent="0.2">
      <c r="A212" s="172"/>
      <c r="B212" s="172"/>
      <c r="C212" s="172" t="s">
        <v>767</v>
      </c>
      <c r="D212" s="172"/>
      <c r="E212" s="177"/>
      <c r="F212" s="177"/>
      <c r="G212" s="177"/>
      <c r="H212" s="177"/>
      <c r="I212" s="177"/>
      <c r="J212" s="177"/>
    </row>
    <row r="213" spans="1:12" x14ac:dyDescent="0.2">
      <c r="A213" s="172"/>
      <c r="B213" s="172"/>
      <c r="C213" s="172" t="s">
        <v>764</v>
      </c>
      <c r="D213" s="172" t="s">
        <v>765</v>
      </c>
      <c r="E213" s="177"/>
      <c r="F213" s="177"/>
      <c r="G213" s="177"/>
      <c r="H213" s="177"/>
      <c r="I213" s="177"/>
      <c r="J213" s="177"/>
    </row>
    <row r="214" spans="1:12" x14ac:dyDescent="0.2">
      <c r="A214" s="172"/>
      <c r="B214" s="172"/>
      <c r="C214" s="172"/>
      <c r="D214" s="172" t="s">
        <v>93</v>
      </c>
      <c r="E214" s="165" t="s">
        <v>766</v>
      </c>
      <c r="F214" s="177"/>
      <c r="G214" s="177"/>
      <c r="H214" s="177"/>
      <c r="I214" s="177"/>
      <c r="J214" s="177"/>
    </row>
    <row r="215" spans="1:12" x14ac:dyDescent="0.2">
      <c r="A215" s="172"/>
      <c r="B215" s="172"/>
      <c r="C215" s="172"/>
      <c r="D215" s="172" t="s">
        <v>768</v>
      </c>
      <c r="E215" s="172"/>
      <c r="F215" s="178">
        <f>HLOOKUP(fck,P247:V248,2)</f>
        <v>5.3</v>
      </c>
      <c r="G215" s="172" t="s">
        <v>769</v>
      </c>
      <c r="H215" s="172"/>
      <c r="I215" s="172"/>
      <c r="J215" s="172"/>
    </row>
    <row r="216" spans="1:12" x14ac:dyDescent="0.2">
      <c r="A216" s="172"/>
      <c r="B216" s="172"/>
      <c r="C216" s="172"/>
      <c r="D216" s="172" t="s">
        <v>99</v>
      </c>
      <c r="E216" s="172"/>
      <c r="F216" s="172"/>
      <c r="G216" s="172"/>
      <c r="H216" s="172"/>
      <c r="I216" s="172"/>
      <c r="J216" s="172"/>
    </row>
    <row r="217" spans="1:12" x14ac:dyDescent="0.2">
      <c r="A217" s="172"/>
      <c r="B217" s="172"/>
      <c r="C217" s="172"/>
      <c r="D217" s="172"/>
      <c r="E217" s="172"/>
      <c r="F217" s="172"/>
      <c r="G217" s="172"/>
      <c r="H217" s="172"/>
      <c r="I217" s="172"/>
      <c r="J217" s="172"/>
    </row>
    <row r="218" spans="1:12" x14ac:dyDescent="0.2">
      <c r="A218" s="172"/>
      <c r="B218" s="172"/>
      <c r="C218" s="172"/>
      <c r="D218" s="172"/>
      <c r="E218" s="172"/>
      <c r="F218" s="172"/>
      <c r="G218" s="172"/>
      <c r="H218" s="172"/>
      <c r="I218" s="172"/>
      <c r="J218" s="172"/>
    </row>
    <row r="219" spans="1:12" x14ac:dyDescent="0.2">
      <c r="A219" s="172"/>
      <c r="B219" s="172"/>
      <c r="C219" s="172"/>
      <c r="D219" s="172"/>
      <c r="E219" s="172"/>
      <c r="F219" s="172"/>
      <c r="G219" s="172"/>
      <c r="H219" s="172"/>
      <c r="I219" s="172"/>
      <c r="J219" s="172"/>
    </row>
    <row r="220" spans="1:12" x14ac:dyDescent="0.2">
      <c r="A220" s="172"/>
      <c r="B220" s="172"/>
      <c r="C220" s="172" t="s">
        <v>26</v>
      </c>
      <c r="D220" s="172" t="s">
        <v>100</v>
      </c>
      <c r="E220" s="172" t="s">
        <v>101</v>
      </c>
      <c r="F220" s="172"/>
      <c r="G220" s="172"/>
      <c r="H220" s="172"/>
      <c r="I220" s="172"/>
      <c r="J220" s="172"/>
    </row>
    <row r="221" spans="1:12" x14ac:dyDescent="0.2">
      <c r="A221" s="172"/>
      <c r="B221" s="172"/>
      <c r="C221" s="172"/>
      <c r="D221" s="172" t="s">
        <v>102</v>
      </c>
      <c r="E221" s="172" t="s">
        <v>103</v>
      </c>
      <c r="F221" s="172"/>
      <c r="G221" s="172"/>
      <c r="H221" s="172"/>
      <c r="I221" s="172"/>
      <c r="J221" s="172"/>
    </row>
    <row r="222" spans="1:12" x14ac:dyDescent="0.2">
      <c r="A222" s="172"/>
      <c r="B222" s="172"/>
      <c r="C222" s="172"/>
      <c r="D222" s="172" t="s">
        <v>104</v>
      </c>
      <c r="E222" s="420" t="s">
        <v>834</v>
      </c>
      <c r="F222" s="420"/>
      <c r="G222" s="420"/>
      <c r="H222" s="420"/>
      <c r="I222" s="420"/>
      <c r="J222" s="420"/>
      <c r="K222" s="420"/>
      <c r="L222" s="420"/>
    </row>
    <row r="223" spans="1:12" x14ac:dyDescent="0.2">
      <c r="A223" s="172"/>
      <c r="B223" s="172"/>
      <c r="C223" s="172"/>
      <c r="D223" s="172"/>
      <c r="E223" s="420"/>
      <c r="F223" s="420"/>
      <c r="G223" s="420"/>
      <c r="H223" s="420"/>
      <c r="I223" s="420"/>
      <c r="J223" s="420"/>
      <c r="K223" s="420"/>
      <c r="L223" s="420"/>
    </row>
    <row r="224" spans="1:12" x14ac:dyDescent="0.2">
      <c r="A224" s="172"/>
      <c r="B224" s="172" t="s">
        <v>451</v>
      </c>
      <c r="C224" s="172"/>
      <c r="D224" s="172"/>
      <c r="E224" s="171"/>
      <c r="F224" s="172"/>
      <c r="G224" s="165"/>
      <c r="H224" s="172"/>
      <c r="I224" s="172"/>
      <c r="J224" s="172"/>
    </row>
    <row r="225" spans="1:11" x14ac:dyDescent="0.2">
      <c r="A225" s="172"/>
      <c r="B225" s="71" t="s">
        <v>629</v>
      </c>
      <c r="C225" s="112"/>
      <c r="D225" s="179">
        <f>D18</f>
        <v>0</v>
      </c>
      <c r="E225" s="113">
        <f>E18</f>
        <v>5</v>
      </c>
      <c r="F225" s="113">
        <f>F18</f>
        <v>10</v>
      </c>
      <c r="G225" s="179">
        <f>G18</f>
        <v>15</v>
      </c>
      <c r="H225" s="394" t="e">
        <f>#REF!</f>
        <v>#REF!</v>
      </c>
      <c r="I225" s="172"/>
      <c r="J225" s="172"/>
    </row>
    <row r="226" spans="1:11" x14ac:dyDescent="0.2">
      <c r="A226" s="172"/>
      <c r="B226" s="75" t="s">
        <v>733</v>
      </c>
      <c r="C226" s="127"/>
      <c r="D226" s="77">
        <f>IF(D$225=0,bbf,bw)/100-2/3*((ductdia+t*2))/1000</f>
        <v>0.62999999999999989</v>
      </c>
      <c r="E226" s="77">
        <f>IF(E$225=0,bbf,bw)/100-2/3*((ductdia+t*2))/1000</f>
        <v>0.22999999999999998</v>
      </c>
      <c r="F226" s="77">
        <f>IF(F$225=0,bbf,bw)/100-2/3*((ductdia+t*2))/1000</f>
        <v>0.22999999999999998</v>
      </c>
      <c r="G226" s="77">
        <f>IF(G$225=0,bbf,bw)/100-2/3*((ductdia+t*2))/1000</f>
        <v>0.22999999999999998</v>
      </c>
      <c r="H226" s="395" t="e">
        <f>IF(H$225=0,bbf,bw)/100-2/3*((ductdia+t*2))/1000</f>
        <v>#REF!</v>
      </c>
      <c r="I226" s="172"/>
      <c r="J226" s="172"/>
    </row>
    <row r="227" spans="1:11" x14ac:dyDescent="0.2">
      <c r="A227" s="172"/>
      <c r="B227" s="75" t="s">
        <v>744</v>
      </c>
      <c r="C227" s="127"/>
      <c r="D227" s="77">
        <f>D/100</f>
        <v>1.8</v>
      </c>
      <c r="E227" s="78">
        <f>D/100</f>
        <v>1.8</v>
      </c>
      <c r="F227" s="78">
        <f>D/100</f>
        <v>1.8</v>
      </c>
      <c r="G227" s="77">
        <f>D/100</f>
        <v>1.8</v>
      </c>
      <c r="H227" s="395">
        <f>D/100</f>
        <v>1.8</v>
      </c>
      <c r="I227" s="172"/>
      <c r="J227" s="172"/>
    </row>
    <row r="228" spans="1:11" ht="12.55" x14ac:dyDescent="0.2">
      <c r="A228" s="172"/>
      <c r="B228" s="75" t="s">
        <v>895</v>
      </c>
      <c r="C228" s="127"/>
      <c r="D228" s="77">
        <f>HLOOKUP(D$225,fcp,4)*10</f>
        <v>760.89494719237166</v>
      </c>
      <c r="E228" s="78">
        <f>HLOOKUP(E$225,fcp,4)*10</f>
        <v>1436.0261769742779</v>
      </c>
      <c r="F228" s="78">
        <f>HLOOKUP(F$225,fcp,4)*10</f>
        <v>1640.9209843904887</v>
      </c>
      <c r="G228" s="77">
        <f>HLOOKUP(G$225,fcp,4)*10</f>
        <v>1658.1697099140952</v>
      </c>
      <c r="H228" s="395" t="e">
        <f>HLOOKUP(H$225,fcp,4)*10</f>
        <v>#REF!</v>
      </c>
      <c r="I228" s="172"/>
      <c r="J228" s="172"/>
    </row>
    <row r="229" spans="1:11" x14ac:dyDescent="0.2">
      <c r="A229" s="172"/>
      <c r="B229" s="75" t="s">
        <v>746</v>
      </c>
      <c r="C229" s="127"/>
      <c r="D229" s="147">
        <f>0.67*D226*D227*SQRT(ft^2+0.8*D228*ft)</f>
        <v>276.14896147599308</v>
      </c>
      <c r="E229" s="106">
        <f>0.67*E226*E227*SQRT(ft^2+0.8*E228*ft)</f>
        <v>131.21023354659184</v>
      </c>
      <c r="F229" s="106">
        <f>0.67*F226*F227*SQRT(ft^2+0.8*F228*ft)</f>
        <v>139.12724391707889</v>
      </c>
      <c r="G229" s="147">
        <f>0.67*G226*G227*SQRT(ft^2+0.8*G228*ft)</f>
        <v>139.77326133687859</v>
      </c>
      <c r="H229" s="394" t="e">
        <f>0.67*H226*H227*SQRT(ft^2+0.8*H228*ft)</f>
        <v>#REF!</v>
      </c>
      <c r="I229" s="172"/>
      <c r="J229" s="172"/>
    </row>
    <row r="230" spans="1:11" ht="11.9" x14ac:dyDescent="0.25">
      <c r="A230" s="172"/>
      <c r="B230" s="75" t="s">
        <v>888</v>
      </c>
      <c r="C230" s="127"/>
      <c r="D230" s="77">
        <f>(D-HLOOKUP(spane/2-D225,first,no+2))/100</f>
        <v>0.9194156093810073</v>
      </c>
      <c r="E230" s="78">
        <f>(D-HLOOKUP(spane/2-E225,first,no+2))/100</f>
        <v>1.18640693750267</v>
      </c>
      <c r="F230" s="78">
        <f>(D-HLOOKUP(spane/2-F225,first,no+2))/100</f>
        <v>1.3466017343756675</v>
      </c>
      <c r="G230" s="77">
        <f>(D-HLOOKUP(spane/2-G225,first,no+2))/100</f>
        <v>1.4</v>
      </c>
      <c r="H230" s="395" t="e">
        <f>(D-HLOOKUP(spane/2-H225,first,no+2))/100</f>
        <v>#REF!</v>
      </c>
      <c r="I230" s="172"/>
      <c r="J230" s="172"/>
    </row>
    <row r="231" spans="1:11" ht="12.55" x14ac:dyDescent="0.2">
      <c r="A231" s="172"/>
      <c r="B231" s="75" t="s">
        <v>896</v>
      </c>
      <c r="C231" s="127"/>
      <c r="D231" s="77">
        <f>IF(D225&lt;=D/100,ige,ig)/100000000</f>
        <v>0.3402</v>
      </c>
      <c r="E231" s="78">
        <f>IF(E225&lt;=D/100,ige,ig)/100000000</f>
        <v>0.27585673042788478</v>
      </c>
      <c r="F231" s="78">
        <f>IF(F225&lt;=D/100,ige,ig)/100000000</f>
        <v>0.27585673042788478</v>
      </c>
      <c r="G231" s="77">
        <f>IF(G225&lt;=D/100,ige,ig)/100000000</f>
        <v>0.27585673042788478</v>
      </c>
      <c r="H231" s="395" t="e">
        <f>IF(H225&lt;=D/100,ige,ig)/100000000</f>
        <v>#REF!</v>
      </c>
      <c r="I231" s="172"/>
      <c r="J231" s="172"/>
    </row>
    <row r="232" spans="1:11" x14ac:dyDescent="0.2">
      <c r="A232" s="172"/>
      <c r="B232" s="75" t="s">
        <v>747</v>
      </c>
      <c r="C232" s="127"/>
      <c r="D232" s="77">
        <f>IF(D225&lt;=D/100,cge,ygb)/100</f>
        <v>0.9</v>
      </c>
      <c r="E232" s="78">
        <f>IF(E225&lt;=D/100,cge,ygb)/100</f>
        <v>0.85589836276619069</v>
      </c>
      <c r="F232" s="78">
        <f>IF(F225&lt;=D/100,cge,ygb)/100</f>
        <v>0.85589836276619069</v>
      </c>
      <c r="G232" s="77">
        <f>IF(G225&lt;=D/100,cge,ygb)/100</f>
        <v>0.85589836276619069</v>
      </c>
      <c r="H232" s="395" t="e">
        <f>IF(H225&lt;=D/100,cge,ygb)/100</f>
        <v>#REF!</v>
      </c>
      <c r="I232" s="172"/>
      <c r="J232" s="172"/>
    </row>
    <row r="233" spans="1:11" ht="12.55" x14ac:dyDescent="0.2">
      <c r="A233" s="172"/>
      <c r="B233" s="75" t="s">
        <v>897</v>
      </c>
      <c r="C233" s="127"/>
      <c r="D233" s="180">
        <f>HLOOKUP(D225,Efprestress,13)</f>
        <v>82.279245258022812</v>
      </c>
      <c r="E233" s="181">
        <f>HLOOKUP(E225,Efprestress,13)</f>
        <v>227.70077838709483</v>
      </c>
      <c r="F233" s="181">
        <f>HLOOKUP(F225,Efprestress,13)</f>
        <v>283.91368784113087</v>
      </c>
      <c r="G233" s="180">
        <f>HLOOKUP(G225,Efprestress,13)</f>
        <v>292.2297367477355</v>
      </c>
      <c r="H233" s="396" t="e">
        <f>HLOOKUP(H225,Efprestress,13)</f>
        <v>#REF!</v>
      </c>
      <c r="I233" s="172"/>
      <c r="J233" s="172"/>
    </row>
    <row r="234" spans="1:11" ht="11.9" x14ac:dyDescent="0.25">
      <c r="A234" s="172"/>
      <c r="B234" s="75" t="s">
        <v>898</v>
      </c>
      <c r="C234" s="127"/>
      <c r="D234" s="77">
        <f>(0.37*SQRT(fck)*100+0.8*D233)*D231/D232</f>
        <v>123.77719818277663</v>
      </c>
      <c r="E234" s="78">
        <f>(0.37*SQRT(fck)*100+0.8*E233)*E231/E232</f>
        <v>143.03391625227218</v>
      </c>
      <c r="F234" s="78">
        <f>(0.37*SQRT(fck)*100+0.8*F233)*F231/F232</f>
        <v>157.52788898026083</v>
      </c>
      <c r="G234" s="77">
        <f>(0.37*SQRT(fck)*100+0.8*G233)*G231/G232</f>
        <v>159.67210437895855</v>
      </c>
      <c r="H234" s="395" t="e">
        <f>(0.37*SQRT(fck)*100+0.8*H233)*H231/H232</f>
        <v>#REF!</v>
      </c>
      <c r="I234" s="172"/>
      <c r="J234" s="172"/>
    </row>
    <row r="235" spans="1:11" ht="11.9" x14ac:dyDescent="0.25">
      <c r="A235" s="172"/>
      <c r="B235" s="75" t="s">
        <v>899</v>
      </c>
      <c r="C235" s="127"/>
      <c r="D235" s="77">
        <f>(1.5*(HLOOKUP(D225,BM,2)+HLOOKUP(D225,BM,3))+2*HLOOKUP(D225,BM,4)+2.5*HLOOKUP(D225,BM,5))/1000</f>
        <v>31.147479999999995</v>
      </c>
      <c r="E235" s="78">
        <f>(1.5*(HLOOKUP(E225,BM,2)+HLOOKUP(E225,BM,3))+2*HLOOKUP(E225,BM,4)+2.5*HLOOKUP(E225,BM,5))/1000</f>
        <v>823.0814064217617</v>
      </c>
      <c r="F235" s="78">
        <f>(1.5*(HLOOKUP(F225,BM,2)+HLOOKUP(F225,BM,3))+2*HLOOKUP(F225,BM,4)+2.5*HLOOKUP(F225,BM,5))/1000</f>
        <v>1275.3673692748189</v>
      </c>
      <c r="G235" s="77">
        <f>(1.5*(HLOOKUP(G225,BM,2)+HLOOKUP(G225,BM,3))+2*HLOOKUP(G225,BM,4)+2.5*HLOOKUP(G225,BM,5))/1000</f>
        <v>1425.5754435591712</v>
      </c>
      <c r="H235" s="395" t="e">
        <f>(1.5*(HLOOKUP(H225,BM,2)+HLOOKUP(H225,BM,3))+2*HLOOKUP(H225,BM,4)+2.5*HLOOKUP(H225,BM,5))/1000</f>
        <v>#REF!</v>
      </c>
      <c r="I235" s="172"/>
      <c r="J235" s="172"/>
    </row>
    <row r="236" spans="1:11" x14ac:dyDescent="0.2">
      <c r="A236" s="172"/>
      <c r="B236" s="75" t="s">
        <v>761</v>
      </c>
      <c r="C236" s="127"/>
      <c r="D236" s="147">
        <f>(1.5*(HLOOKUP(D225,shear,2)+HLOOKUP(D225,shear,3))+2*HLOOKUP(D225,shear,4)+2.5*HLOOKUP(D225,shear,5))/10</f>
        <v>217.74853114122283</v>
      </c>
      <c r="E236" s="106">
        <f>(1.5*(HLOOKUP(E225,shear,2)+HLOOKUP(E225,shear,3))+2*HLOOKUP(E225,shear,4)+2.5*HLOOKUP(E225,shear,5))/10</f>
        <v>152.50163742748188</v>
      </c>
      <c r="F236" s="106">
        <f>(1.5*(HLOOKUP(F225,shear,2)+HLOOKUP(F225,shear,3))+2*HLOOKUP(F225,shear,4)+2.5*HLOOKUP(F225,shear,5))/10</f>
        <v>97.02069371374094</v>
      </c>
      <c r="G236" s="147">
        <f>(1.5*(HLOOKUP(G225,shear,2)+HLOOKUP(G225,shear,3))+2*HLOOKUP(G225,shear,4)+2.5*HLOOKUP(G225,shear,5))/10</f>
        <v>47.498599999999996</v>
      </c>
      <c r="H236" s="394" t="e">
        <f>(1.5*(HLOOKUP(H225,shear,2)+HLOOKUP(H225,shear,3))+2*HLOOKUP(H225,shear,4)+2.5*HLOOKUP(H225,shear,5))/10</f>
        <v>#REF!</v>
      </c>
      <c r="I236" s="172"/>
      <c r="J236" s="172"/>
      <c r="K236" s="182"/>
    </row>
    <row r="237" spans="1:11" x14ac:dyDescent="0.2">
      <c r="A237" s="172"/>
      <c r="B237" s="75" t="s">
        <v>760</v>
      </c>
      <c r="C237" s="127"/>
      <c r="D237" s="77">
        <f>(0.037*D226*D230*SQRT(fck)*100+D234/D235*D236)</f>
        <v>880.46689173784534</v>
      </c>
      <c r="E237" s="78">
        <f>(0.037*E226*E230*SQRT(fck)*100+E234/E235*E236)</f>
        <v>33.640696155326708</v>
      </c>
      <c r="F237" s="78">
        <f>(0.037*F226*F230*SQRT(fck)*100+F234/F235*F236)</f>
        <v>20.086725828983564</v>
      </c>
      <c r="G237" s="77">
        <f>(0.037*G226*G230*SQRT(fck)*100+G234/G235*G236)</f>
        <v>13.744568437221076</v>
      </c>
      <c r="H237" s="395" t="e">
        <f>(0.037*H226*H230*SQRT(fck)*100+H234/H235*H236)</f>
        <v>#REF!</v>
      </c>
      <c r="I237" s="172"/>
      <c r="J237" s="172"/>
    </row>
    <row r="238" spans="1:11" x14ac:dyDescent="0.2">
      <c r="A238" s="172"/>
      <c r="B238" s="75" t="s">
        <v>762</v>
      </c>
      <c r="C238" s="127"/>
      <c r="D238" s="77">
        <f>0.1*D226*D227*SQRT(fck)*100</f>
        <v>80.18590898655448</v>
      </c>
      <c r="E238" s="78">
        <f>0.1*E226*E227*SQRT(fck)*100</f>
        <v>29.27422074112307</v>
      </c>
      <c r="F238" s="78">
        <f>0.1*F226*F227*SQRT(fck)*100</f>
        <v>29.27422074112307</v>
      </c>
      <c r="G238" s="77">
        <f>0.1*G226*G227*SQRT(fck)*100</f>
        <v>29.27422074112307</v>
      </c>
      <c r="H238" s="395" t="e">
        <f>0.1*H226*H227*SQRT(fck)*100</f>
        <v>#REF!</v>
      </c>
      <c r="I238" s="172"/>
      <c r="J238" s="172"/>
    </row>
    <row r="239" spans="1:11" x14ac:dyDescent="0.2">
      <c r="A239" s="172"/>
      <c r="B239" s="75" t="s">
        <v>760</v>
      </c>
      <c r="C239" s="127"/>
      <c r="D239" s="147">
        <f>MAX(D237:D238)</f>
        <v>880.46689173784534</v>
      </c>
      <c r="E239" s="106">
        <f t="shared" ref="E239:H239" si="35">MAX(E237:E238)</f>
        <v>33.640696155326708</v>
      </c>
      <c r="F239" s="106">
        <f t="shared" si="35"/>
        <v>29.27422074112307</v>
      </c>
      <c r="G239" s="147">
        <f t="shared" si="35"/>
        <v>29.27422074112307</v>
      </c>
      <c r="H239" s="394" t="e">
        <f t="shared" si="35"/>
        <v>#REF!</v>
      </c>
      <c r="I239" s="172"/>
      <c r="J239" s="172"/>
    </row>
    <row r="240" spans="1:11" x14ac:dyDescent="0.2">
      <c r="A240" s="172"/>
      <c r="B240" s="183" t="s">
        <v>741</v>
      </c>
      <c r="C240" s="184"/>
      <c r="D240" s="185" t="str">
        <f>IF(D229&gt;D239,"Uncracked","Cracked")</f>
        <v>Cracked</v>
      </c>
      <c r="E240" s="125" t="str">
        <f>IF(E229&gt;E239,"Uncracked","Cracked")</f>
        <v>Uncracked</v>
      </c>
      <c r="F240" s="125" t="str">
        <f>IF(F229&gt;F239,"Uncracked","Cracked")</f>
        <v>Uncracked</v>
      </c>
      <c r="G240" s="185" t="str">
        <f>IF(G229&gt;G239,"Uncracked","Cracked")</f>
        <v>Uncracked</v>
      </c>
      <c r="H240" s="394" t="e">
        <f>IF(H229&gt;H239,"Uncracked","Cracked")</f>
        <v>#REF!</v>
      </c>
      <c r="I240" s="172"/>
      <c r="J240" s="172"/>
    </row>
    <row r="241" spans="1:23" x14ac:dyDescent="0.2">
      <c r="A241" s="172"/>
      <c r="B241" s="75" t="s">
        <v>136</v>
      </c>
      <c r="C241" s="127"/>
      <c r="D241" s="77">
        <f>IF(D229&gt;D239,HLOOKUP(D$225,Pv,no+2),0)</f>
        <v>0</v>
      </c>
      <c r="E241" s="77">
        <f>IF(E229&gt;E239,HLOOKUP(E$225,Pv,no+2),0)</f>
        <v>155.73206246732531</v>
      </c>
      <c r="F241" s="77">
        <f>IF(F229&gt;F239,HLOOKUP(F$225,Pv,no+2),0)</f>
        <v>45.574993023670956</v>
      </c>
      <c r="G241" s="77">
        <f>IF(G229&gt;G239,HLOOKUP(G$225,Pv,no+2),0)</f>
        <v>1.2104667969310539</v>
      </c>
      <c r="H241" s="395" t="e">
        <f>IF(H229&gt;H239,HLOOKUP(H$225,Pv,no+2),0)</f>
        <v>#REF!</v>
      </c>
      <c r="I241" s="172"/>
      <c r="J241" s="172"/>
    </row>
    <row r="242" spans="1:23" x14ac:dyDescent="0.2">
      <c r="A242" s="172"/>
      <c r="B242" s="75" t="s">
        <v>770</v>
      </c>
      <c r="C242" s="127"/>
      <c r="D242" s="147">
        <f>$F$215*100*D226*MAX(D230,0.8*D227)+D241</f>
        <v>480.81599999999992</v>
      </c>
      <c r="E242" s="106">
        <f>$F$215*100*E226*MAX(E230,0.8*E227)+E241</f>
        <v>331.26806246732531</v>
      </c>
      <c r="F242" s="106">
        <f>$F$215*100*F226*MAX(F230,0.8*F227)+F241</f>
        <v>221.11099302367097</v>
      </c>
      <c r="G242" s="147">
        <f>$F$215*100*G226*MAX(G230,0.8*G227)+G241</f>
        <v>176.74646679693106</v>
      </c>
      <c r="H242" s="394" t="e">
        <f>$F$215*100*H226*MAX(H230,0.8*H227)+H241</f>
        <v>#REF!</v>
      </c>
      <c r="I242" s="172"/>
      <c r="J242" s="172"/>
    </row>
    <row r="243" spans="1:23" x14ac:dyDescent="0.2">
      <c r="A243" s="172"/>
      <c r="B243" s="75" t="s">
        <v>741</v>
      </c>
      <c r="C243" s="127"/>
      <c r="D243" s="147" t="str">
        <f>IF(D236&gt;D242,"Unsafe","Safe")</f>
        <v>Safe</v>
      </c>
      <c r="E243" s="106" t="str">
        <f t="shared" ref="E243:H243" si="36">IF(E236&gt;E242,"Unsafe","Safe")</f>
        <v>Safe</v>
      </c>
      <c r="F243" s="106" t="str">
        <f t="shared" si="36"/>
        <v>Safe</v>
      </c>
      <c r="G243" s="147" t="str">
        <f t="shared" si="36"/>
        <v>Safe</v>
      </c>
      <c r="H243" s="394" t="e">
        <f t="shared" si="36"/>
        <v>#REF!</v>
      </c>
      <c r="I243" s="172"/>
      <c r="J243" s="172"/>
    </row>
    <row r="244" spans="1:23" x14ac:dyDescent="0.2">
      <c r="A244" s="172"/>
      <c r="B244" s="172"/>
      <c r="C244" s="172"/>
      <c r="D244" s="186"/>
      <c r="E244" s="186"/>
      <c r="F244" s="186"/>
      <c r="G244" s="186"/>
      <c r="H244" s="380"/>
      <c r="I244" s="172"/>
    </row>
    <row r="245" spans="1:23" x14ac:dyDescent="0.2">
      <c r="A245" s="172"/>
      <c r="B245" s="172" t="s">
        <v>771</v>
      </c>
      <c r="C245" s="172"/>
      <c r="D245" s="186"/>
      <c r="E245" s="186"/>
      <c r="F245" s="186"/>
      <c r="G245" s="186" t="s">
        <v>772</v>
      </c>
      <c r="H245" s="380"/>
      <c r="I245" s="172"/>
    </row>
    <row r="246" spans="1:23" x14ac:dyDescent="0.2">
      <c r="A246" s="172"/>
      <c r="B246" s="172" t="str">
        <f>"fyv= "&amp;(fyv)&amp;" Mpa"</f>
        <v>fyv= 250 Mpa</v>
      </c>
      <c r="C246" s="172"/>
      <c r="D246" s="186"/>
      <c r="E246" s="186"/>
      <c r="F246" s="186"/>
      <c r="G246" s="186"/>
      <c r="H246" s="380"/>
      <c r="I246" s="172"/>
      <c r="P246" s="187" t="s">
        <v>845</v>
      </c>
      <c r="Q246" s="187"/>
      <c r="R246" s="187"/>
      <c r="S246" s="187"/>
      <c r="T246" s="187"/>
      <c r="U246" s="187"/>
      <c r="V246" s="187"/>
      <c r="W246" s="187"/>
    </row>
    <row r="247" spans="1:23" x14ac:dyDescent="0.2">
      <c r="A247" s="172"/>
      <c r="B247" s="71" t="s">
        <v>629</v>
      </c>
      <c r="C247" s="112"/>
      <c r="D247" s="188">
        <f>D40</f>
        <v>0</v>
      </c>
      <c r="E247" s="188">
        <f>E40</f>
        <v>5</v>
      </c>
      <c r="F247" s="188">
        <f>F40</f>
        <v>10</v>
      </c>
      <c r="G247" s="411">
        <f>G40</f>
        <v>15</v>
      </c>
      <c r="H247" s="397">
        <f>H40</f>
        <v>0</v>
      </c>
      <c r="I247" s="172"/>
      <c r="P247" s="187">
        <v>30</v>
      </c>
      <c r="Q247" s="187">
        <v>35</v>
      </c>
      <c r="R247" s="187">
        <v>40</v>
      </c>
      <c r="S247" s="187">
        <v>45</v>
      </c>
      <c r="T247" s="187">
        <v>50</v>
      </c>
      <c r="U247" s="187">
        <v>55</v>
      </c>
      <c r="V247" s="187">
        <v>60</v>
      </c>
      <c r="W247" s="187" t="s">
        <v>592</v>
      </c>
    </row>
    <row r="248" spans="1:23" x14ac:dyDescent="0.2">
      <c r="A248" s="172"/>
      <c r="B248" s="75" t="s">
        <v>761</v>
      </c>
      <c r="C248" s="127"/>
      <c r="D248" s="78">
        <f>(1.5*(HLOOKUP(D247,shear,2)+HLOOKUP(D247,shear,3))+2*HLOOKUP(D247,shear,4)+2.5*HLOOKUP(D247,shear,5))/10</f>
        <v>217.74853114122283</v>
      </c>
      <c r="E248" s="78">
        <f>(1.5*(HLOOKUP(E247,shear,2)+HLOOKUP(E247,shear,3))+2*HLOOKUP(E247,shear,4)+2.5*HLOOKUP(E247,shear,5))/10</f>
        <v>152.50163742748188</v>
      </c>
      <c r="F248" s="78">
        <f>(1.5*(HLOOKUP(F247,shear,2)+HLOOKUP(F247,shear,3))+2*HLOOKUP(F247,shear,4)+2.5*HLOOKUP(F247,shear,5))/10</f>
        <v>97.02069371374094</v>
      </c>
      <c r="G248" s="77">
        <f>(1.5*(HLOOKUP(G247,shear,2)+HLOOKUP(G247,shear,3))+2*HLOOKUP(G247,shear,4)+2.5*HLOOKUP(G247,shear,5))/10</f>
        <v>47.498599999999996</v>
      </c>
      <c r="H248" s="395">
        <f>(1.5*(HLOOKUP(H247,shear,2)+HLOOKUP(H247,shear,3))+2*HLOOKUP(H247,shear,4)+2.5*HLOOKUP(H247,shear,5))/10</f>
        <v>217.74853114122283</v>
      </c>
      <c r="I248" s="172"/>
      <c r="O248" s="44" t="s">
        <v>795</v>
      </c>
      <c r="P248" s="187">
        <v>4.0999999999999996</v>
      </c>
      <c r="Q248" s="187">
        <v>4.4000000000000004</v>
      </c>
      <c r="R248" s="187">
        <v>4.7</v>
      </c>
      <c r="S248" s="187">
        <v>5</v>
      </c>
      <c r="T248" s="187">
        <v>5.3</v>
      </c>
      <c r="U248" s="187">
        <v>5.5</v>
      </c>
      <c r="V248" s="187">
        <v>5.8</v>
      </c>
      <c r="W248" s="187" t="s">
        <v>846</v>
      </c>
    </row>
    <row r="249" spans="1:23" x14ac:dyDescent="0.2">
      <c r="A249" s="172"/>
      <c r="B249" s="183" t="s">
        <v>844</v>
      </c>
      <c r="C249" s="184"/>
      <c r="D249" s="141">
        <f>interp(fck,$P$247:$V$247,$P$248:$V$248)/100*bw*D252*10000</f>
        <v>27824.999999999996</v>
      </c>
      <c r="E249" s="141">
        <f>interp(fck,$P$247:$V$247,$P$248:$V$248)/100*bw*E252*10000</f>
        <v>27824.999999999996</v>
      </c>
      <c r="F249" s="141">
        <f>interp(fck,$P$247:$V$247,$P$248:$V$248)/100*bw*F252*10000</f>
        <v>27824.999999999996</v>
      </c>
      <c r="G249" s="139">
        <f>interp(fck,$P$247:$V$247,$P$248:$V$248)/100*bw*G252*10000</f>
        <v>27824.999999999996</v>
      </c>
      <c r="H249" s="395">
        <f>interp(fck,$P$247:$V$247,$P$248:$V$248)/100*bw*H252*10000</f>
        <v>27824.999999999996</v>
      </c>
      <c r="I249" s="172" t="s">
        <v>847</v>
      </c>
    </row>
    <row r="250" spans="1:23" x14ac:dyDescent="0.2">
      <c r="A250" s="172"/>
      <c r="B250" s="183" t="s">
        <v>741</v>
      </c>
      <c r="C250" s="184"/>
      <c r="D250" s="125" t="str">
        <f>IF(D249&gt;D248,"Safe","Unsafe")</f>
        <v>Safe</v>
      </c>
      <c r="E250" s="125" t="str">
        <f t="shared" ref="E250:H250" si="37">IF(E249&gt;E248,"Safe","Unsafe")</f>
        <v>Safe</v>
      </c>
      <c r="F250" s="125" t="str">
        <f t="shared" si="37"/>
        <v>Safe</v>
      </c>
      <c r="G250" s="185" t="str">
        <f t="shared" si="37"/>
        <v>Safe</v>
      </c>
      <c r="H250" s="394" t="str">
        <f t="shared" si="37"/>
        <v>Safe</v>
      </c>
      <c r="I250" s="172"/>
    </row>
    <row r="251" spans="1:23" x14ac:dyDescent="0.2">
      <c r="A251" s="172"/>
      <c r="B251" s="183" t="s">
        <v>773</v>
      </c>
      <c r="C251" s="184"/>
      <c r="D251" s="141">
        <f>IF(D237&gt;D238,D229,D239)</f>
        <v>276.14896147599308</v>
      </c>
      <c r="E251" s="141">
        <f>IF(E237&gt;E238,E229,E239)</f>
        <v>131.21023354659184</v>
      </c>
      <c r="F251" s="141">
        <f>IF(F237&gt;F238,F229,F239)</f>
        <v>29.27422074112307</v>
      </c>
      <c r="G251" s="139">
        <f>IF(G237&gt;G238,G229,G239)</f>
        <v>29.27422074112307</v>
      </c>
      <c r="H251" s="395" t="e">
        <f>IF(H237&gt;H238,H229,H239)</f>
        <v>#REF!</v>
      </c>
      <c r="I251" s="172"/>
    </row>
    <row r="252" spans="1:23" x14ac:dyDescent="0.2">
      <c r="A252" s="172"/>
      <c r="B252" s="183" t="s">
        <v>833</v>
      </c>
      <c r="C252" s="184"/>
      <c r="D252" s="141">
        <f>D/100-co/1000</f>
        <v>1.75</v>
      </c>
      <c r="E252" s="141">
        <f>D/100-co/1000</f>
        <v>1.75</v>
      </c>
      <c r="F252" s="141">
        <f>D/100-co/1000</f>
        <v>1.75</v>
      </c>
      <c r="G252" s="139">
        <f>D/100-co/1000</f>
        <v>1.75</v>
      </c>
      <c r="H252" s="395">
        <f>D/100-co/1000</f>
        <v>1.75</v>
      </c>
      <c r="I252" s="172"/>
    </row>
    <row r="253" spans="1:23" x14ac:dyDescent="0.2">
      <c r="A253" s="172"/>
      <c r="B253" s="189" t="s">
        <v>805</v>
      </c>
      <c r="C253" s="127"/>
      <c r="D253" s="190">
        <v>12</v>
      </c>
      <c r="E253" s="190">
        <v>12</v>
      </c>
      <c r="F253" s="190">
        <v>12</v>
      </c>
      <c r="G253" s="88">
        <v>12</v>
      </c>
      <c r="H253" s="398">
        <v>12</v>
      </c>
      <c r="I253" s="172"/>
    </row>
    <row r="254" spans="1:23" x14ac:dyDescent="0.2">
      <c r="A254" s="172"/>
      <c r="B254" s="189" t="s">
        <v>848</v>
      </c>
      <c r="C254" s="127"/>
      <c r="D254" s="144">
        <f>IF(AND(D248&lt;D251,D248&gt;D251/2),D257*0.87*fyv/(bw*10*0.4)," ")</f>
        <v>409.97784129346803</v>
      </c>
      <c r="E254" s="144" t="str">
        <f>IF(AND(E248&lt;E251,E248&gt;E251/2),E257*0.87*fyv/(bw*10*0.4)," ")</f>
        <v xml:space="preserve"> </v>
      </c>
      <c r="F254" s="144" t="str">
        <f>IF(AND(F248&lt;F251,F248&gt;F251/2),F257*0.87*fyv/(bw*10*0.4)," ")</f>
        <v xml:space="preserve"> </v>
      </c>
      <c r="G254" s="96" t="str">
        <f>IF(AND(G248&lt;G251,G248&gt;G251/2),G257*0.87*fyv/(bw*10*0.4)," ")</f>
        <v xml:space="preserve"> </v>
      </c>
      <c r="H254" s="398" t="e">
        <f>IF(AND(H248&lt;H251,H248&gt;H251/2),H257*0.87*fyv/(bw*10*0.4)," ")</f>
        <v>#REF!</v>
      </c>
      <c r="I254" s="172" t="s">
        <v>854</v>
      </c>
    </row>
    <row r="255" spans="1:23" x14ac:dyDescent="0.2">
      <c r="A255" s="172"/>
      <c r="B255" s="189" t="s">
        <v>848</v>
      </c>
      <c r="C255" s="127"/>
      <c r="D255" s="191" t="str">
        <f>IF(D248&gt;D251,(D257*0.87*fyv*D252*1000)/((D248-D251)*10000),"")</f>
        <v/>
      </c>
      <c r="E255" s="191">
        <f>IF(E248&gt;E251,(E257*0.87*fyv*E252*1000)/((E248-E251)*10000),"")</f>
        <v>404.36669725147891</v>
      </c>
      <c r="F255" s="191">
        <f>IF(F248&gt;F251,(F257*0.87*fyv*F252*1000)/((F248-F251)*10000),"")</f>
        <v>127.08461842201993</v>
      </c>
      <c r="G255" s="412">
        <f>IF(G248&gt;G251,(G257*0.87*fyv*G252*1000)/((G248-G251)*10000),"")</f>
        <v>472.41854138703815</v>
      </c>
      <c r="H255" s="399" t="e">
        <f>IF(H248&gt;H251,(H257*0.87*fyv*H252*1000)/((H248-H251)*10000),"")</f>
        <v>#REF!</v>
      </c>
      <c r="I255" s="172" t="s">
        <v>855</v>
      </c>
      <c r="O255" s="172"/>
    </row>
    <row r="256" spans="1:23" x14ac:dyDescent="0.2">
      <c r="A256" s="172"/>
      <c r="B256" s="189" t="s">
        <v>848</v>
      </c>
      <c r="C256" s="127"/>
      <c r="D256" s="192">
        <v>200</v>
      </c>
      <c r="E256" s="192">
        <v>200</v>
      </c>
      <c r="F256" s="192">
        <v>100</v>
      </c>
      <c r="G256" s="413">
        <v>200</v>
      </c>
      <c r="H256" s="399">
        <v>200</v>
      </c>
      <c r="I256" s="172" t="s">
        <v>853</v>
      </c>
      <c r="O256" s="172"/>
    </row>
    <row r="257" spans="1:31" ht="12.55" x14ac:dyDescent="0.2">
      <c r="A257" s="172"/>
      <c r="B257" s="189" t="s">
        <v>900</v>
      </c>
      <c r="C257" s="127"/>
      <c r="D257" s="191">
        <f>2*PI()/4*D253^2</f>
        <v>226.1946710584651</v>
      </c>
      <c r="E257" s="191">
        <f>2*PI()/4*E253^2</f>
        <v>226.1946710584651</v>
      </c>
      <c r="F257" s="191">
        <f>2*PI()/4*F253^2</f>
        <v>226.1946710584651</v>
      </c>
      <c r="G257" s="412">
        <f>2*PI()/4*G253^2</f>
        <v>226.1946710584651</v>
      </c>
      <c r="H257" s="399">
        <f>2*PI()/4*H253^2</f>
        <v>226.1946710584651</v>
      </c>
      <c r="I257" s="172"/>
      <c r="O257" s="172"/>
    </row>
    <row r="258" spans="1:31" x14ac:dyDescent="0.2">
      <c r="A258" s="44"/>
      <c r="C258" s="172"/>
      <c r="D258" s="193"/>
      <c r="E258" s="193"/>
      <c r="F258" s="193"/>
      <c r="G258" s="193"/>
      <c r="H258" s="381"/>
      <c r="I258" s="193"/>
    </row>
    <row r="259" spans="1:31" x14ac:dyDescent="0.2">
      <c r="A259" s="44"/>
      <c r="B259" s="194" t="s">
        <v>1060</v>
      </c>
      <c r="D259" s="193"/>
      <c r="E259" s="193"/>
      <c r="F259" s="193"/>
      <c r="G259" s="193"/>
      <c r="H259" s="381"/>
      <c r="I259" s="193"/>
    </row>
    <row r="260" spans="1:31" x14ac:dyDescent="0.2">
      <c r="A260" s="44"/>
      <c r="B260" s="195" t="s">
        <v>540</v>
      </c>
      <c r="C260" s="196">
        <v>0.7</v>
      </c>
      <c r="D260" s="193" t="s">
        <v>541</v>
      </c>
      <c r="E260" s="193"/>
      <c r="F260" s="193"/>
      <c r="H260" s="382"/>
      <c r="I260" s="193"/>
    </row>
    <row r="261" spans="1:31" x14ac:dyDescent="0.2">
      <c r="A261" s="44"/>
      <c r="B261" s="195" t="s">
        <v>542</v>
      </c>
      <c r="C261" s="196">
        <v>0.9</v>
      </c>
      <c r="D261" s="193" t="s">
        <v>545</v>
      </c>
      <c r="E261" s="193"/>
      <c r="F261" s="193"/>
      <c r="H261" s="382"/>
      <c r="I261" s="193"/>
    </row>
    <row r="262" spans="1:31" x14ac:dyDescent="0.2">
      <c r="A262" s="44"/>
      <c r="B262" s="195" t="s">
        <v>543</v>
      </c>
      <c r="C262" s="196">
        <v>0.4</v>
      </c>
      <c r="D262" s="193"/>
      <c r="E262" s="193"/>
      <c r="F262" s="193"/>
      <c r="H262" s="382"/>
      <c r="I262" s="193"/>
    </row>
    <row r="263" spans="1:31" ht="11.9" x14ac:dyDescent="0.25">
      <c r="A263" s="44"/>
      <c r="B263" s="195" t="s">
        <v>544</v>
      </c>
      <c r="C263" s="195" t="s">
        <v>901</v>
      </c>
      <c r="D263" s="193"/>
      <c r="E263" s="193"/>
      <c r="F263" s="193"/>
      <c r="H263" s="401"/>
      <c r="I263" s="193"/>
      <c r="K263" s="157"/>
      <c r="P263" s="81"/>
      <c r="Q263" s="81"/>
      <c r="R263" s="81"/>
      <c r="S263" s="81"/>
      <c r="T263" s="81"/>
      <c r="U263" s="81"/>
      <c r="V263" s="81"/>
      <c r="W263" s="81"/>
      <c r="X263" s="81"/>
      <c r="Y263" s="81"/>
      <c r="Z263" s="81"/>
      <c r="AA263" s="81"/>
      <c r="AB263" s="81"/>
      <c r="AC263" s="81"/>
      <c r="AD263" s="81"/>
      <c r="AE263" s="81"/>
    </row>
    <row r="264" spans="1:31" x14ac:dyDescent="0.2">
      <c r="A264" s="172"/>
      <c r="B264" s="172" t="str">
        <f>"fyv= "&amp;(fyv)&amp;" Mpa"</f>
        <v>fyv= 250 Mpa</v>
      </c>
      <c r="C264" s="172"/>
      <c r="D264" s="186"/>
      <c r="E264" s="186"/>
      <c r="F264" s="186"/>
      <c r="G264" s="186"/>
      <c r="H264" s="380"/>
      <c r="I264" s="172"/>
      <c r="P264" s="81"/>
      <c r="Q264" s="81"/>
      <c r="R264" s="81"/>
      <c r="S264" s="81"/>
      <c r="T264" s="81"/>
      <c r="U264" s="81"/>
      <c r="V264" s="81"/>
      <c r="W264" s="81"/>
      <c r="X264" s="81"/>
      <c r="Y264" s="81"/>
      <c r="Z264" s="81"/>
      <c r="AA264" s="81"/>
      <c r="AB264" s="81"/>
      <c r="AC264" s="81"/>
      <c r="AD264" s="81"/>
      <c r="AE264" s="81"/>
    </row>
    <row r="265" spans="1:31" x14ac:dyDescent="0.2">
      <c r="A265" s="44"/>
      <c r="B265" s="197" t="s">
        <v>643</v>
      </c>
      <c r="C265" s="198"/>
      <c r="D265" s="199">
        <f>D247</f>
        <v>0</v>
      </c>
      <c r="E265" s="199">
        <f>E247</f>
        <v>5</v>
      </c>
      <c r="F265" s="199">
        <f>F247</f>
        <v>10</v>
      </c>
      <c r="G265" s="200">
        <f>G247</f>
        <v>15</v>
      </c>
      <c r="H265" s="399">
        <f>H247</f>
        <v>0</v>
      </c>
      <c r="I265" s="193"/>
    </row>
    <row r="266" spans="1:31" x14ac:dyDescent="0.2">
      <c r="A266" s="44"/>
      <c r="B266" s="189" t="s">
        <v>804</v>
      </c>
      <c r="C266" s="127"/>
      <c r="D266" s="129">
        <f>IF(($C$260*$C$261*(D+ds-co/10)*10*fy*D271)/(HLOOKUP(D265,shearein,2)*10-$C$260*$C$262*(D+ds-co/10)*10*btf*10*0.4*SQRT(fck)/1000)/1000&lt;0,fy*D271/(0.34*btf*10),MIN(fy*D271/(0.34*btf*10),($C$260*$C$261*(D+ds-co/10)*10*fy*D271)/(HLOOKUP(D265,shearein,2)*10-$C$260*$C$262*(D+ds-co/10)*10*btf*10*0.4*SQRT(fck)/1000)/1000))</f>
        <v>133.33681933122639</v>
      </c>
      <c r="E266" s="129">
        <f>IF(($C$260*$C$261*(D+ds-co/10)*10*fy*E271)/(HLOOKUP(E265,shearein,2)*10-$C$260*$C$262*(D+ds-co/10)*10*btf*10*0.4*SQRT(fck)/1000)/1000&lt;0,fy*E271/(0.34*btf*10),MIN(fy*E271/(0.34*btf*10),($C$260*$C$261*(D+ds-co/10)*10*fy*E271)/(HLOOKUP(E265,shearein,2)*10-$C$260*$C$262*(D+ds-co/10)*10*btf*10*0.4*SQRT(fck)/1000)/1000))</f>
        <v>342.32982402450864</v>
      </c>
      <c r="F266" s="129">
        <f>IF(($C$260*$C$261*(D+ds-co/10)*10*fy*F271)/(HLOOKUP(F265,shearein,2)*10-$C$260*$C$262*(D+ds-co/10)*10*btf*10*0.4*SQRT(fck)/1000)/1000&lt;0,fy*F271/(0.34*btf*10),MIN(fy*F271/(0.34*btf*10),($C$260*$C$261*(D+ds-co/10)*10*fy*F271)/(HLOOKUP(F265,shearein,2)*10-$C$260*$C$262*(D+ds-co/10)*10*btf*10*0.4*SQRT(fck)/1000)/1000))</f>
        <v>475.19888877828805</v>
      </c>
      <c r="G266" s="414">
        <f>IF(($C$260*$C$261*(D+ds-co/10)*10*fy*G271)/(HLOOKUP(G265,shearein,2)*10-$C$260*$C$262*(D+ds-co/10)*10*btf*10*0.4*SQRT(fck)/1000)/1000&lt;0,fy*G271/(0.34*btf*10),MIN(fy*G271/(0.34*btf*10),($C$260*$C$261*(D+ds-co/10)*10*fy*G271)/(HLOOKUP(G265,shearein,2)*10-$C$260*$C$262*(D+ds-co/10)*10*btf*10*0.4*SQRT(fck)/1000)/1000))</f>
        <v>475.19888877828805</v>
      </c>
      <c r="H266" s="402">
        <f>IF(($C$260*$C$261*(D+ds-co/10)*10*fy*H271)/(HLOOKUP(H265,shearein,2)*10-$C$260*$C$262*(D+ds-co/10)*10*btf*10*0.4*SQRT(fck)/1000)/1000&lt;0,fy*H271/(0.34*btf*10),MIN(fy*H271/(0.34*btf*10),($C$260*$C$261*(D+ds-co/10)*10*fy*H271)/(HLOOKUP(H265,shearein,2)*10-$C$260*$C$262*(D+ds-co/10)*10*btf*10*0.4*SQRT(fck)/1000)/1000))</f>
        <v>133.33681933122639</v>
      </c>
      <c r="I266" s="172"/>
      <c r="K266" s="157"/>
      <c r="O266" s="44">
        <f>0.2*fck*btf*10*(D+ds-co/10)*10</f>
        <v>14000000</v>
      </c>
      <c r="P266" s="44" t="s">
        <v>125</v>
      </c>
      <c r="Q266" s="44" t="e">
        <f>$C$260*$C$262*(D+ds-co/10)*10*btf*10*0.4*SQRT(fck)+$C$260*$C$261*(D+ds-co/10)*10*fy*#REF!/D266</f>
        <v>#REF!</v>
      </c>
    </row>
    <row r="267" spans="1:31" x14ac:dyDescent="0.2">
      <c r="A267" s="172"/>
      <c r="B267" s="189" t="s">
        <v>856</v>
      </c>
      <c r="C267" s="127"/>
      <c r="D267" s="191">
        <f>2*D256</f>
        <v>400</v>
      </c>
      <c r="E267" s="191">
        <f t="shared" ref="E267:H267" si="38">2*E256</f>
        <v>400</v>
      </c>
      <c r="F267" s="191">
        <f t="shared" si="38"/>
        <v>200</v>
      </c>
      <c r="G267" s="412">
        <f t="shared" si="38"/>
        <v>400</v>
      </c>
      <c r="H267" s="399">
        <f t="shared" si="38"/>
        <v>400</v>
      </c>
      <c r="I267" s="172" t="s">
        <v>857</v>
      </c>
      <c r="O267" s="172"/>
    </row>
    <row r="268" spans="1:31" x14ac:dyDescent="0.2">
      <c r="A268" s="172"/>
      <c r="B268" s="189" t="s">
        <v>860</v>
      </c>
      <c r="C268" s="127"/>
      <c r="D268" s="191">
        <f>1000/(0.3%*(btf*10000)/(D271))</f>
        <v>107.71174812307861</v>
      </c>
      <c r="E268" s="191">
        <f>1000/(0.3%*(btf*10000)/(E271))</f>
        <v>107.71174812307861</v>
      </c>
      <c r="F268" s="191">
        <f>1000/(0.3%*(btf*10000)/(F271))</f>
        <v>107.71174812307861</v>
      </c>
      <c r="G268" s="412">
        <f>1000/(0.3%*(btf*10000)/(G271))</f>
        <v>107.71174812307861</v>
      </c>
      <c r="H268" s="399">
        <f>1000/(0.3%*(btf*10000)/(H271))</f>
        <v>107.71174812307861</v>
      </c>
      <c r="I268" s="172" t="s">
        <v>861</v>
      </c>
      <c r="O268" s="172"/>
    </row>
    <row r="269" spans="1:31" x14ac:dyDescent="0.2">
      <c r="A269" s="172"/>
      <c r="B269" s="189" t="s">
        <v>856</v>
      </c>
      <c r="C269" s="127"/>
      <c r="D269" s="191">
        <f>MIN(D266:D268)</f>
        <v>107.71174812307861</v>
      </c>
      <c r="E269" s="191">
        <f t="shared" ref="E269:H269" si="39">MIN(E266:E268)</f>
        <v>107.71174812307861</v>
      </c>
      <c r="F269" s="191">
        <f t="shared" si="39"/>
        <v>107.71174812307861</v>
      </c>
      <c r="G269" s="412">
        <f t="shared" si="39"/>
        <v>107.71174812307861</v>
      </c>
      <c r="H269" s="399">
        <f t="shared" si="39"/>
        <v>107.71174812307861</v>
      </c>
      <c r="I269" s="172" t="s">
        <v>859</v>
      </c>
      <c r="O269" s="172"/>
    </row>
    <row r="270" spans="1:31" x14ac:dyDescent="0.2">
      <c r="A270" s="44"/>
      <c r="B270" s="189" t="s">
        <v>805</v>
      </c>
      <c r="C270" s="127"/>
      <c r="D270" s="202">
        <f>D253</f>
        <v>12</v>
      </c>
      <c r="E270" s="202">
        <f>E253</f>
        <v>12</v>
      </c>
      <c r="F270" s="202">
        <f>F253</f>
        <v>12</v>
      </c>
      <c r="G270" s="239">
        <f>G253</f>
        <v>12</v>
      </c>
      <c r="H270" s="403">
        <f>H253</f>
        <v>12</v>
      </c>
      <c r="I270" s="400"/>
    </row>
    <row r="271" spans="1:31" ht="12.55" x14ac:dyDescent="0.2">
      <c r="A271" s="44"/>
      <c r="B271" s="189" t="s">
        <v>900</v>
      </c>
      <c r="C271" s="127"/>
      <c r="D271" s="203">
        <f>2*PI()/4*D270^2</f>
        <v>226.1946710584651</v>
      </c>
      <c r="E271" s="203">
        <f>2*PI()/4*E270^2</f>
        <v>226.1946710584651</v>
      </c>
      <c r="F271" s="203">
        <f t="shared" ref="F271:H271" si="40">2*PI()/4*F270^2</f>
        <v>226.1946710584651</v>
      </c>
      <c r="G271" s="415">
        <f t="shared" si="40"/>
        <v>226.1946710584651</v>
      </c>
      <c r="H271" s="383">
        <f t="shared" si="40"/>
        <v>226.1946710584651</v>
      </c>
      <c r="I271" s="193"/>
    </row>
    <row r="272" spans="1:31" x14ac:dyDescent="0.2">
      <c r="A272" s="44"/>
      <c r="B272" s="172"/>
      <c r="C272" s="172"/>
      <c r="D272" s="204"/>
      <c r="E272" s="204"/>
      <c r="F272" s="204"/>
      <c r="G272" s="204"/>
      <c r="H272" s="383"/>
      <c r="I272" s="193"/>
    </row>
    <row r="273" spans="1:31" x14ac:dyDescent="0.2">
      <c r="B273" s="44" t="s">
        <v>862</v>
      </c>
      <c r="H273" s="401"/>
      <c r="I273" s="172"/>
    </row>
    <row r="274" spans="1:31" x14ac:dyDescent="0.2">
      <c r="A274" s="172"/>
      <c r="B274" s="172" t="str">
        <f>"fyv= "&amp;(fyv)&amp;" Mpa"</f>
        <v>fyv= 250 Mpa</v>
      </c>
      <c r="C274" s="172"/>
      <c r="D274" s="186"/>
      <c r="E274" s="186"/>
      <c r="F274" s="186"/>
      <c r="G274" s="186"/>
      <c r="H274" s="380"/>
      <c r="I274" s="172"/>
      <c r="P274" s="81"/>
      <c r="Q274" s="81"/>
      <c r="R274" s="81"/>
      <c r="S274" s="81"/>
      <c r="T274" s="81"/>
      <c r="U274" s="81"/>
      <c r="V274" s="81"/>
      <c r="W274" s="81"/>
      <c r="X274" s="81"/>
      <c r="Y274" s="81"/>
      <c r="Z274" s="81"/>
      <c r="AA274" s="81"/>
      <c r="AB274" s="81"/>
      <c r="AC274" s="81"/>
      <c r="AD274" s="81"/>
      <c r="AE274" s="81"/>
    </row>
    <row r="275" spans="1:31" x14ac:dyDescent="0.2">
      <c r="A275" s="44"/>
      <c r="B275" s="197" t="s">
        <v>643</v>
      </c>
      <c r="C275" s="198"/>
      <c r="D275" s="199">
        <f>D265</f>
        <v>0</v>
      </c>
      <c r="E275" s="199">
        <f>E265</f>
        <v>5</v>
      </c>
      <c r="F275" s="199">
        <f>F265</f>
        <v>10</v>
      </c>
      <c r="G275" s="200">
        <f>G265</f>
        <v>15</v>
      </c>
      <c r="H275" s="399">
        <f>H265</f>
        <v>0</v>
      </c>
      <c r="I275" s="193"/>
    </row>
    <row r="276" spans="1:31" x14ac:dyDescent="0.2">
      <c r="A276" s="44"/>
      <c r="B276" s="189" t="s">
        <v>805</v>
      </c>
      <c r="C276" s="127"/>
      <c r="D276" s="202">
        <f>D270</f>
        <v>12</v>
      </c>
      <c r="E276" s="202">
        <f t="shared" ref="E276:H276" si="41">E270</f>
        <v>12</v>
      </c>
      <c r="F276" s="202">
        <f t="shared" si="41"/>
        <v>12</v>
      </c>
      <c r="G276" s="239">
        <f t="shared" si="41"/>
        <v>12</v>
      </c>
      <c r="H276" s="403">
        <f t="shared" si="41"/>
        <v>12</v>
      </c>
      <c r="I276" s="400"/>
    </row>
    <row r="277" spans="1:31" ht="12.55" x14ac:dyDescent="0.2">
      <c r="A277" s="44"/>
      <c r="B277" s="189" t="s">
        <v>900</v>
      </c>
      <c r="C277" s="127"/>
      <c r="D277" s="203">
        <f>2*PI()/4*D276^2</f>
        <v>226.1946710584651</v>
      </c>
      <c r="E277" s="203">
        <f>2*PI()/4*E276^2</f>
        <v>226.1946710584651</v>
      </c>
      <c r="F277" s="203">
        <f t="shared" ref="F277:H277" si="42">2*PI()/4*F276^2</f>
        <v>226.1946710584651</v>
      </c>
      <c r="G277" s="415">
        <f t="shared" si="42"/>
        <v>226.1946710584651</v>
      </c>
      <c r="H277" s="383">
        <f t="shared" si="42"/>
        <v>226.1946710584651</v>
      </c>
      <c r="I277" s="193"/>
    </row>
    <row r="278" spans="1:31" x14ac:dyDescent="0.2">
      <c r="A278" s="172"/>
      <c r="B278" s="189" t="s">
        <v>860</v>
      </c>
      <c r="C278" s="127"/>
      <c r="D278" s="191">
        <f>1000/(0.3%*(bbf*10000)/(D277))</f>
        <v>107.71174812307861</v>
      </c>
      <c r="E278" s="191">
        <f>1000/(0.3%*(bbf*10000)/(E277))</f>
        <v>107.71174812307861</v>
      </c>
      <c r="F278" s="191">
        <f>1000/(0.3%*(bbf*10000)/(F277))</f>
        <v>107.71174812307861</v>
      </c>
      <c r="G278" s="412">
        <f>1000/(0.3%*(bbf*10000)/(G277))</f>
        <v>107.71174812307861</v>
      </c>
      <c r="H278" s="399">
        <f>1000/(0.3%*(bbf*10000)/(H277))</f>
        <v>107.71174812307861</v>
      </c>
      <c r="I278" s="172" t="s">
        <v>861</v>
      </c>
      <c r="O278" s="172"/>
    </row>
    <row r="279" spans="1:31" x14ac:dyDescent="0.2">
      <c r="A279" s="172"/>
      <c r="B279" s="189" t="s">
        <v>856</v>
      </c>
      <c r="C279" s="127"/>
      <c r="D279" s="191">
        <f>2*D256</f>
        <v>400</v>
      </c>
      <c r="E279" s="191">
        <f t="shared" ref="E279:H279" si="43">2*E256</f>
        <v>400</v>
      </c>
      <c r="F279" s="191">
        <f t="shared" si="43"/>
        <v>200</v>
      </c>
      <c r="G279" s="412">
        <f t="shared" si="43"/>
        <v>400</v>
      </c>
      <c r="H279" s="399">
        <f t="shared" si="43"/>
        <v>400</v>
      </c>
      <c r="I279" s="172" t="s">
        <v>857</v>
      </c>
      <c r="O279" s="172"/>
    </row>
    <row r="280" spans="1:31" x14ac:dyDescent="0.2">
      <c r="A280" s="172"/>
      <c r="B280" s="189" t="s">
        <v>863</v>
      </c>
      <c r="C280" s="127"/>
      <c r="D280" s="191">
        <f>MIN(D278:D279)</f>
        <v>107.71174812307861</v>
      </c>
      <c r="E280" s="191">
        <f t="shared" ref="E280:H280" si="44">MIN(E278:E279)</f>
        <v>107.71174812307861</v>
      </c>
      <c r="F280" s="191">
        <f t="shared" si="44"/>
        <v>107.71174812307861</v>
      </c>
      <c r="G280" s="412">
        <f t="shared" si="44"/>
        <v>107.71174812307861</v>
      </c>
      <c r="H280" s="399">
        <f t="shared" si="44"/>
        <v>107.71174812307861</v>
      </c>
      <c r="I280" s="172" t="s">
        <v>859</v>
      </c>
      <c r="O280" s="172"/>
    </row>
    <row r="281" spans="1:31" x14ac:dyDescent="0.2">
      <c r="H281" s="172"/>
    </row>
    <row r="282" spans="1:31" x14ac:dyDescent="0.2">
      <c r="B282" s="68" t="s">
        <v>133</v>
      </c>
      <c r="H282" s="172"/>
    </row>
    <row r="283" spans="1:31" x14ac:dyDescent="0.2">
      <c r="A283" s="67" t="s">
        <v>864</v>
      </c>
      <c r="B283" s="44" t="s">
        <v>134</v>
      </c>
      <c r="H283" s="172"/>
      <c r="J283" s="206"/>
      <c r="K283" s="81"/>
    </row>
    <row r="284" spans="1:31" ht="12.55" x14ac:dyDescent="0.2">
      <c r="A284" s="44"/>
      <c r="B284" s="207" t="s">
        <v>812</v>
      </c>
      <c r="H284" s="172" t="s">
        <v>24</v>
      </c>
      <c r="I284" s="44">
        <f>0.15%*Ag*100</f>
        <v>1168.0234970992749</v>
      </c>
      <c r="J284" s="44" t="s">
        <v>906</v>
      </c>
      <c r="K284" s="81"/>
    </row>
    <row r="285" spans="1:31" x14ac:dyDescent="0.2">
      <c r="A285" s="44"/>
      <c r="B285" s="207" t="s">
        <v>420</v>
      </c>
      <c r="H285" s="172" t="s">
        <v>24</v>
      </c>
      <c r="I285" s="80">
        <v>12</v>
      </c>
      <c r="J285" s="44" t="s">
        <v>42</v>
      </c>
      <c r="K285" s="81"/>
    </row>
    <row r="286" spans="1:31" x14ac:dyDescent="0.2">
      <c r="A286" s="44"/>
      <c r="B286" s="207" t="s">
        <v>813</v>
      </c>
      <c r="H286" s="172" t="s">
        <v>24</v>
      </c>
      <c r="I286" s="80">
        <v>14</v>
      </c>
      <c r="J286" s="44" t="s">
        <v>491</v>
      </c>
      <c r="K286" s="81"/>
    </row>
    <row r="287" spans="1:31" ht="12.55" x14ac:dyDescent="0.2">
      <c r="A287" s="44"/>
      <c r="B287" s="44" t="s">
        <v>539</v>
      </c>
      <c r="H287" s="172" t="s">
        <v>24</v>
      </c>
      <c r="I287" s="44">
        <f>I286*PI()/4*I285^2</f>
        <v>1583.3626974092558</v>
      </c>
      <c r="J287" s="44" t="s">
        <v>906</v>
      </c>
      <c r="K287" s="81" t="str">
        <f>IF(I287&lt;I284,I286+2,"ok")</f>
        <v>ok</v>
      </c>
    </row>
    <row r="288" spans="1:31" x14ac:dyDescent="0.2">
      <c r="A288" s="44"/>
      <c r="H288" s="172"/>
      <c r="K288" s="81"/>
    </row>
    <row r="289" spans="1:12" x14ac:dyDescent="0.2">
      <c r="A289" s="67" t="s">
        <v>865</v>
      </c>
      <c r="B289" s="44" t="s">
        <v>135</v>
      </c>
      <c r="H289" s="172"/>
      <c r="K289" s="81"/>
    </row>
    <row r="290" spans="1:12" ht="12.55" x14ac:dyDescent="0.2">
      <c r="A290" s="44"/>
      <c r="B290" s="207" t="s">
        <v>812</v>
      </c>
      <c r="H290" s="172" t="s">
        <v>24</v>
      </c>
      <c r="I290" s="44">
        <f>0.15%*aeg*100</f>
        <v>1890.0000000000002</v>
      </c>
      <c r="J290" s="44" t="s">
        <v>906</v>
      </c>
      <c r="K290" s="81"/>
    </row>
    <row r="291" spans="1:12" x14ac:dyDescent="0.2">
      <c r="A291" s="44"/>
      <c r="B291" s="207" t="s">
        <v>420</v>
      </c>
      <c r="H291" s="172" t="s">
        <v>24</v>
      </c>
      <c r="I291" s="80">
        <v>12</v>
      </c>
      <c r="J291" s="44" t="s">
        <v>42</v>
      </c>
      <c r="K291" s="81"/>
    </row>
    <row r="292" spans="1:12" x14ac:dyDescent="0.2">
      <c r="A292" s="44"/>
      <c r="B292" s="207" t="s">
        <v>813</v>
      </c>
      <c r="H292" s="44" t="s">
        <v>24</v>
      </c>
      <c r="I292" s="80">
        <v>24</v>
      </c>
      <c r="J292" s="44" t="s">
        <v>491</v>
      </c>
      <c r="K292" s="81"/>
    </row>
    <row r="293" spans="1:12" ht="12.55" x14ac:dyDescent="0.2">
      <c r="A293" s="44"/>
      <c r="B293" s="207" t="s">
        <v>47</v>
      </c>
      <c r="H293" s="44" t="s">
        <v>24</v>
      </c>
      <c r="I293" s="44">
        <f>I292*PI()/4*I291^2</f>
        <v>2714.3360527015811</v>
      </c>
      <c r="J293" s="44" t="s">
        <v>906</v>
      </c>
      <c r="K293" s="187" t="str">
        <f>IF(I293&lt;I290,I292+2,"ok")</f>
        <v>ok</v>
      </c>
    </row>
    <row r="294" spans="1:12" x14ac:dyDescent="0.2">
      <c r="A294" s="44"/>
      <c r="B294" s="44" t="s">
        <v>539</v>
      </c>
      <c r="J294" s="81"/>
      <c r="K294" s="208"/>
    </row>
    <row r="295" spans="1:12" x14ac:dyDescent="0.2">
      <c r="K295" s="81"/>
      <c r="L295" s="208"/>
    </row>
    <row r="296" spans="1:12" x14ac:dyDescent="0.2">
      <c r="B296" s="68" t="s">
        <v>775</v>
      </c>
    </row>
    <row r="297" spans="1:12" x14ac:dyDescent="0.2">
      <c r="B297" s="44" t="s">
        <v>776</v>
      </c>
    </row>
    <row r="298" spans="1:12" ht="12.55" x14ac:dyDescent="0.2">
      <c r="B298" s="205" t="s">
        <v>791</v>
      </c>
      <c r="C298" s="44" t="s">
        <v>24</v>
      </c>
      <c r="D298" s="44" t="s">
        <v>902</v>
      </c>
      <c r="H298" s="44" t="s">
        <v>24</v>
      </c>
      <c r="I298" s="157">
        <f>5/48*I299*spane^2/(Ec*I302)</f>
        <v>26.806440937746363</v>
      </c>
      <c r="J298" s="44" t="s">
        <v>42</v>
      </c>
    </row>
    <row r="299" spans="1:12" x14ac:dyDescent="0.2">
      <c r="B299" s="44" t="s">
        <v>777</v>
      </c>
      <c r="C299" s="44" t="s">
        <v>24</v>
      </c>
      <c r="D299" s="44" t="s">
        <v>779</v>
      </c>
      <c r="H299" s="44" t="s">
        <v>24</v>
      </c>
      <c r="I299" s="157">
        <f>(HLOOKUP(spane/2,BM,2)+HLOOKUP(spane/2,BM,3)+HLOOKUP(spane/2,BM,4)+HLOOKUP(spane/2,BM,5))/100</f>
        <v>7643.0381570611407</v>
      </c>
      <c r="J299" s="44" t="s">
        <v>23</v>
      </c>
    </row>
    <row r="300" spans="1:12" x14ac:dyDescent="0.2">
      <c r="B300" s="44" t="s">
        <v>577</v>
      </c>
      <c r="C300" s="44" t="s">
        <v>24</v>
      </c>
      <c r="D300" s="44" t="s">
        <v>780</v>
      </c>
      <c r="H300" s="44" t="s">
        <v>24</v>
      </c>
      <c r="I300" s="157">
        <f>spane</f>
        <v>30</v>
      </c>
      <c r="J300" s="44" t="s">
        <v>19</v>
      </c>
    </row>
    <row r="301" spans="1:12" x14ac:dyDescent="0.2">
      <c r="B301" s="44" t="s">
        <v>778</v>
      </c>
      <c r="C301" s="44" t="s">
        <v>24</v>
      </c>
      <c r="D301" s="44" t="s">
        <v>781</v>
      </c>
      <c r="H301" s="44" t="s">
        <v>24</v>
      </c>
      <c r="I301" s="157">
        <f>Ec</f>
        <v>40305.086527633212</v>
      </c>
      <c r="J301" s="44" t="s">
        <v>165</v>
      </c>
    </row>
    <row r="302" spans="1:12" ht="12.55" x14ac:dyDescent="0.2">
      <c r="B302" s="44" t="s">
        <v>49</v>
      </c>
      <c r="C302" s="44" t="s">
        <v>24</v>
      </c>
      <c r="D302" s="44" t="s">
        <v>783</v>
      </c>
      <c r="H302" s="44" t="s">
        <v>24</v>
      </c>
      <c r="I302" s="157">
        <f>ic/100^4</f>
        <v>0.66319048910724576</v>
      </c>
      <c r="J302" s="44" t="s">
        <v>903</v>
      </c>
    </row>
    <row r="303" spans="1:12" x14ac:dyDescent="0.2">
      <c r="I303" s="157"/>
    </row>
    <row r="304" spans="1:12" x14ac:dyDescent="0.2">
      <c r="B304" s="44" t="s">
        <v>788</v>
      </c>
      <c r="I304" s="157"/>
    </row>
    <row r="305" spans="1:28" ht="12.55" x14ac:dyDescent="0.2">
      <c r="B305" s="205" t="s">
        <v>792</v>
      </c>
      <c r="C305" s="44" t="s">
        <v>24</v>
      </c>
      <c r="D305" s="44" t="s">
        <v>904</v>
      </c>
      <c r="I305" s="157">
        <f>I306*I307*spane^2/(8*Ec*ic)*1000000</f>
        <v>20.777195818977205</v>
      </c>
      <c r="J305" s="44" t="s">
        <v>42</v>
      </c>
    </row>
    <row r="306" spans="1:28" x14ac:dyDescent="0.2">
      <c r="B306" s="44" t="s">
        <v>277</v>
      </c>
      <c r="C306" s="44" t="s">
        <v>24</v>
      </c>
      <c r="D306" s="44" t="s">
        <v>789</v>
      </c>
      <c r="H306" s="44" t="s">
        <v>24</v>
      </c>
      <c r="I306" s="157">
        <f>HLOOKUP(spane/2,Efprestress,2)*10</f>
        <v>10828.405855965189</v>
      </c>
      <c r="J306" s="44" t="s">
        <v>25</v>
      </c>
    </row>
    <row r="307" spans="1:28" x14ac:dyDescent="0.2">
      <c r="B307" s="44" t="s">
        <v>228</v>
      </c>
      <c r="C307" s="44" t="s">
        <v>24</v>
      </c>
      <c r="D307" s="44" t="s">
        <v>790</v>
      </c>
      <c r="H307" s="44" t="s">
        <v>24</v>
      </c>
      <c r="I307" s="157">
        <f>HLOOKUP(spane/2,Efprestress,7)</f>
        <v>45.589836276619067</v>
      </c>
      <c r="J307" s="44" t="s">
        <v>21</v>
      </c>
    </row>
    <row r="308" spans="1:28" x14ac:dyDescent="0.2">
      <c r="B308" s="44" t="s">
        <v>905</v>
      </c>
      <c r="H308" s="44" t="s">
        <v>24</v>
      </c>
      <c r="I308" s="157">
        <f>I298-I305</f>
        <v>6.0292451187691576</v>
      </c>
      <c r="J308" s="44" t="s">
        <v>42</v>
      </c>
    </row>
    <row r="309" spans="1:28" x14ac:dyDescent="0.2">
      <c r="B309" s="44" t="s">
        <v>793</v>
      </c>
      <c r="E309" s="44" t="s">
        <v>794</v>
      </c>
      <c r="H309" s="44" t="s">
        <v>24</v>
      </c>
      <c r="I309" s="157">
        <f>spane/800*1000</f>
        <v>37.5</v>
      </c>
      <c r="J309" s="44" t="s">
        <v>42</v>
      </c>
      <c r="K309" s="187" t="str">
        <f>IF(I308&lt;I309,"OK","Not OK")</f>
        <v>OK</v>
      </c>
    </row>
    <row r="310" spans="1:28" x14ac:dyDescent="0.2">
      <c r="K310" s="81"/>
    </row>
    <row r="311" spans="1:28" x14ac:dyDescent="0.2">
      <c r="A311" s="44"/>
      <c r="C311" s="68" t="s">
        <v>126</v>
      </c>
    </row>
    <row r="312" spans="1:28" x14ac:dyDescent="0.2">
      <c r="A312" s="44"/>
    </row>
    <row r="313" spans="1:28" ht="11.3" thickBot="1" x14ac:dyDescent="0.25">
      <c r="A313" s="44"/>
    </row>
    <row r="314" spans="1:28" ht="11.3" thickBot="1" x14ac:dyDescent="0.25">
      <c r="A314" s="209" t="s">
        <v>0</v>
      </c>
      <c r="B314" s="210" t="s">
        <v>1</v>
      </c>
      <c r="P314" s="157">
        <f>G347-A315</f>
        <v>120.00000000000001</v>
      </c>
    </row>
    <row r="315" spans="1:28" ht="12.55" x14ac:dyDescent="0.2">
      <c r="A315" s="211">
        <v>0</v>
      </c>
      <c r="B315" s="212">
        <v>0</v>
      </c>
      <c r="L315" s="131"/>
      <c r="M315" s="131"/>
      <c r="N315" s="131" t="s">
        <v>2</v>
      </c>
      <c r="O315" s="131" t="s">
        <v>3</v>
      </c>
      <c r="P315" s="131" t="s">
        <v>907</v>
      </c>
      <c r="Q315" s="131" t="s">
        <v>4</v>
      </c>
      <c r="R315" s="131" t="s">
        <v>908</v>
      </c>
      <c r="S315" s="131" t="s">
        <v>5</v>
      </c>
      <c r="T315" s="44">
        <f t="shared" ref="T315:T344" si="45">U315*W315</f>
        <v>0</v>
      </c>
      <c r="U315" s="67">
        <v>1</v>
      </c>
      <c r="V315" s="67"/>
      <c r="W315" s="44">
        <f>(A315-A315)</f>
        <v>0</v>
      </c>
      <c r="AB315" s="44" t="s">
        <v>22</v>
      </c>
    </row>
    <row r="316" spans="1:28" x14ac:dyDescent="0.2">
      <c r="A316" s="211">
        <f>'Girder Property'!I13*100</f>
        <v>240</v>
      </c>
      <c r="B316" s="212">
        <f>B315</f>
        <v>0</v>
      </c>
      <c r="L316" s="44">
        <f t="shared" ref="L316:L344" si="46">T315+(T316-T315)/2</f>
        <v>120</v>
      </c>
      <c r="M316" s="44">
        <f t="shared" ref="M316:M344" si="47">B316-B315</f>
        <v>0</v>
      </c>
      <c r="N316" s="44">
        <f t="shared" ref="N316:N344" si="48">L316*M316</f>
        <v>0</v>
      </c>
      <c r="O316" s="44">
        <f t="shared" ref="O316:O344" si="49">T315^2/2*M316+(T316-T315)/2*M316*(T315+(T316-T315)/3)</f>
        <v>0</v>
      </c>
      <c r="P316" s="44">
        <f>(B316-B315)*T315^3/12+(B316-B315)*T315*(T315/2-P314)^2+(B316-B315)*(T316-T315)^3/36+(B316-B315)*(T316-T315)/2*(T315+(T316-T315)/3-P314)^2</f>
        <v>0</v>
      </c>
      <c r="Q316" s="44">
        <f t="shared" ref="Q316:Q344" si="50">T315*(B316-B315)*(B315+(B316-B315)/2)+(T316-T315)/2*(B316-B315)*(B315+2/3*(B316-B315))</f>
        <v>0</v>
      </c>
      <c r="R316" s="44">
        <f>T315*(B316-B315)^3/12+T315*(B316-B315)*(B315+(B316-B315)/2-G348)^2+(T316-T315)*(B316-B315)^3/36+(T316-T315)/2*(B316-B315)*(B315+2/3*(B316-B315)-G348)^2</f>
        <v>0</v>
      </c>
      <c r="S316" s="213">
        <f t="shared" ref="S316:S344" si="51">T315^2/2*M316*(B315+(B316-B315)/2)+(T316-T315)/2*M316*(T315+(T316-T315)/3)*(B315+2/3*(B316-B315))</f>
        <v>0</v>
      </c>
      <c r="T316" s="44">
        <f t="shared" si="45"/>
        <v>240</v>
      </c>
      <c r="U316" s="67">
        <v>1</v>
      </c>
      <c r="V316" s="67">
        <f>IF(AND(W316=W315,B316=B315),A,1)</f>
        <v>1</v>
      </c>
      <c r="W316" s="44">
        <f>(A316-A315)</f>
        <v>240</v>
      </c>
    </row>
    <row r="317" spans="1:28" x14ac:dyDescent="0.2">
      <c r="A317" s="211">
        <f>A316</f>
        <v>240</v>
      </c>
      <c r="B317" s="212">
        <f>-'Girder Property'!I317*100</f>
        <v>-25</v>
      </c>
      <c r="L317" s="44">
        <f t="shared" si="46"/>
        <v>240</v>
      </c>
      <c r="M317" s="44">
        <f t="shared" si="47"/>
        <v>-25</v>
      </c>
      <c r="N317" s="44">
        <f t="shared" si="48"/>
        <v>-6000</v>
      </c>
      <c r="O317" s="44">
        <f t="shared" si="49"/>
        <v>-720000</v>
      </c>
      <c r="P317" s="44">
        <f>(B317-B316)*T316^3/12+(B317-B316)*T316*(T316/2-P314)^2+(B317-B316)*(T317-T316)^3/36+(B317-B316)*(T317-T316)/2*(T316+(T317-T316)/3-P314)^2</f>
        <v>-28800000</v>
      </c>
      <c r="Q317" s="44">
        <f t="shared" si="50"/>
        <v>75000</v>
      </c>
      <c r="R317" s="44">
        <f>T316*(B317-B316)^3/12+T316*(B317-B316)*(B316+(B317-B316)/2-G348)^2+(T317-T316)*(B317-B316)^3/36+(T317-T316)/2*(B317-B316)*(B316+2/3*(B317-B316)-G348)^2</f>
        <v>-14412843.330189126</v>
      </c>
      <c r="S317" s="213">
        <f t="shared" si="51"/>
        <v>9000000</v>
      </c>
      <c r="T317" s="44">
        <f t="shared" si="45"/>
        <v>240</v>
      </c>
      <c r="U317" s="67">
        <v>1</v>
      </c>
      <c r="V317" s="67">
        <f>IF(AND(W317=W315,B317=B315),A,1)</f>
        <v>1</v>
      </c>
      <c r="W317" s="44">
        <f>(A317-A315)</f>
        <v>240</v>
      </c>
    </row>
    <row r="318" spans="1:28" x14ac:dyDescent="0.2">
      <c r="A318" s="211">
        <f>A317/2+'Girder Property'!G187/20+5</f>
        <v>140</v>
      </c>
      <c r="B318" s="212">
        <f>B317</f>
        <v>-25</v>
      </c>
      <c r="L318" s="44">
        <f t="shared" si="46"/>
        <v>190</v>
      </c>
      <c r="M318" s="44">
        <f t="shared" si="47"/>
        <v>0</v>
      </c>
      <c r="N318" s="44">
        <f t="shared" si="48"/>
        <v>0</v>
      </c>
      <c r="O318" s="44">
        <f t="shared" si="49"/>
        <v>0</v>
      </c>
      <c r="P318" s="44">
        <f>(B318-B317)*T317^3/12+(B318-B317)*T317*(T317/2-P314)^2+(B318-B317)*(T318-T317)^3/36+(B318-B317)*(T318-T317)/2*(T317+(T318-T317)/3-P314)^2</f>
        <v>0</v>
      </c>
      <c r="Q318" s="44">
        <f t="shared" si="50"/>
        <v>0</v>
      </c>
      <c r="R318" s="44">
        <f>T317*(B318-B317)^3/12+T317*(B318-B317)*(B317+(B318-B317)/2-G348)^2+(T318-T317)*(B318-B317)^3/36+(T318-T317)/2*(B318-B317)*(B317+2/3*(B318-B317)-G348)^2</f>
        <v>0</v>
      </c>
      <c r="S318" s="213">
        <f t="shared" si="51"/>
        <v>0</v>
      </c>
      <c r="T318" s="44">
        <f t="shared" si="45"/>
        <v>140</v>
      </c>
      <c r="U318" s="67">
        <f t="shared" ref="U318:U344" si="52">IF(OR(U317=0,V318="A"),0,1)</f>
        <v>1</v>
      </c>
      <c r="V318" s="67">
        <f>IF(AND(W318=W315,B318=B315),A,1)</f>
        <v>1</v>
      </c>
      <c r="W318" s="44">
        <f>(A318-A315)</f>
        <v>140</v>
      </c>
    </row>
    <row r="319" spans="1:28" x14ac:dyDescent="0.2">
      <c r="A319" s="211">
        <f>A317/2+'Girder Property'!G187/20</f>
        <v>135</v>
      </c>
      <c r="B319" s="212">
        <f>B318-5</f>
        <v>-30</v>
      </c>
      <c r="L319" s="44">
        <f t="shared" si="46"/>
        <v>137.5</v>
      </c>
      <c r="M319" s="44">
        <f t="shared" si="47"/>
        <v>-5</v>
      </c>
      <c r="N319" s="44">
        <f t="shared" si="48"/>
        <v>-687.5</v>
      </c>
      <c r="O319" s="44">
        <f t="shared" si="49"/>
        <v>-47270.833333333336</v>
      </c>
      <c r="P319" s="44">
        <f>(B319-B318)*T318^3/12+(B319-B318)*T318*(T318/2-P314)^2+(B319-B318)*(T319-T318)^3/36+(B319-B318)*(T319-T318)/2*(T318+(T319-T318)/3-P314)^2</f>
        <v>-2889114.583333334</v>
      </c>
      <c r="Q319" s="44">
        <f t="shared" si="50"/>
        <v>18895.833333333332</v>
      </c>
      <c r="R319" s="44">
        <f>T318*(B319-B318)^3/12+T318*(B319-B318)*(B318+(B319-B318)/2-G348)^2+(T319-T318)*(B319-B318)^3/36+(T319-T318)/2*(B319-B318)*(B318+2/3*(B319-B318)-G348)^2</f>
        <v>-772635.43385745038</v>
      </c>
      <c r="S319" s="213">
        <f t="shared" si="51"/>
        <v>1298506.9444444445</v>
      </c>
      <c r="T319" s="44">
        <f t="shared" si="45"/>
        <v>135</v>
      </c>
      <c r="U319" s="67">
        <f t="shared" si="52"/>
        <v>1</v>
      </c>
      <c r="V319" s="67">
        <f>IF(AND(W319=W315,B319=B315),"A",1)</f>
        <v>1</v>
      </c>
      <c r="W319" s="44">
        <f>(A319-A315)</f>
        <v>135</v>
      </c>
    </row>
    <row r="320" spans="1:28" x14ac:dyDescent="0.2">
      <c r="A320" s="211">
        <f>A319</f>
        <v>135</v>
      </c>
      <c r="B320" s="212">
        <f>-'Girder Property'!B334+'Girder Property'!B342</f>
        <v>-205</v>
      </c>
      <c r="L320" s="44">
        <f t="shared" si="46"/>
        <v>135</v>
      </c>
      <c r="M320" s="44">
        <f t="shared" si="47"/>
        <v>-175</v>
      </c>
      <c r="N320" s="44">
        <f t="shared" si="48"/>
        <v>-23625</v>
      </c>
      <c r="O320" s="44">
        <f t="shared" si="49"/>
        <v>-1594687.5</v>
      </c>
      <c r="P320" s="44">
        <f>(B320-B319)*T319^3/12+(B320-B319)*T319*(T319/2-P314)^2+(B320-B319)*(T320-T319)^3/36+(B320-B319)*(T320-T319)/2*(T319+(T320-T319)/3-P314)^2</f>
        <v>-100996875.00000003</v>
      </c>
      <c r="Q320" s="44">
        <f t="shared" si="50"/>
        <v>2775937.5</v>
      </c>
      <c r="R320" s="44">
        <f>T319*(B320-B319)^3/12+T319*(B320-B319)*(B319+(B320-B319)/2-G348)^2+(T320-T319)*(B320-B319)^3/36+(T320-T319)/2*(B320-B319)*(B319+2/3*(B320-B319)-G348)^2</f>
        <v>-135770250.59073776</v>
      </c>
      <c r="S320" s="213">
        <f t="shared" si="51"/>
        <v>187375781.25</v>
      </c>
      <c r="T320" s="44">
        <f t="shared" si="45"/>
        <v>135</v>
      </c>
      <c r="U320" s="67">
        <f t="shared" si="52"/>
        <v>1</v>
      </c>
      <c r="V320" s="67">
        <f>IF(AND(W320=W315,B320=B315),"A",1)</f>
        <v>1</v>
      </c>
      <c r="W320" s="44">
        <f>(A320-A315)</f>
        <v>135</v>
      </c>
    </row>
    <row r="321" spans="1:23" x14ac:dyDescent="0.2">
      <c r="A321" s="211">
        <f>A319-'Girder Property'!G187/10</f>
        <v>105</v>
      </c>
      <c r="B321" s="212">
        <f>B320</f>
        <v>-205</v>
      </c>
      <c r="L321" s="44">
        <f t="shared" si="46"/>
        <v>120</v>
      </c>
      <c r="M321" s="44">
        <f t="shared" si="47"/>
        <v>0</v>
      </c>
      <c r="N321" s="44">
        <f t="shared" si="48"/>
        <v>0</v>
      </c>
      <c r="O321" s="44">
        <f t="shared" si="49"/>
        <v>0</v>
      </c>
      <c r="P321" s="44">
        <f>(B321-B320)*T320^3/12+(B321-B320)*T320*(T320/2-P314)^2+(B321-B320)*(T321-T320)^3/36+(B321-B320)*(T321-T320)/2*(T320+(T321-T320)/3-P314)^2</f>
        <v>0</v>
      </c>
      <c r="Q321" s="44">
        <f t="shared" si="50"/>
        <v>0</v>
      </c>
      <c r="R321" s="44">
        <f>T320*(B321-B320)^3/12+T320*(B321-B320)*(B320+(B321-B320)/2-G348)^2+(T321-T320)*(B321-B320)^3/36+(T321-T320)/2*(B321-B320)*(B320+2/3*(B321-B320)-G348)^2</f>
        <v>0</v>
      </c>
      <c r="S321" s="213">
        <f t="shared" si="51"/>
        <v>0</v>
      </c>
      <c r="T321" s="44">
        <f t="shared" si="45"/>
        <v>105</v>
      </c>
      <c r="U321" s="67">
        <f t="shared" si="52"/>
        <v>1</v>
      </c>
      <c r="V321" s="67">
        <f>IF(AND(W321=W315,B321=B315),"A",1)</f>
        <v>1</v>
      </c>
      <c r="W321" s="44">
        <f>(A321-A315)</f>
        <v>105</v>
      </c>
    </row>
    <row r="322" spans="1:23" x14ac:dyDescent="0.2">
      <c r="A322" s="211">
        <f>A321</f>
        <v>105</v>
      </c>
      <c r="B322" s="212">
        <f>B319</f>
        <v>-30</v>
      </c>
      <c r="L322" s="44">
        <f t="shared" si="46"/>
        <v>105</v>
      </c>
      <c r="M322" s="44">
        <f t="shared" si="47"/>
        <v>175</v>
      </c>
      <c r="N322" s="44">
        <f t="shared" si="48"/>
        <v>18375</v>
      </c>
      <c r="O322" s="44">
        <f t="shared" si="49"/>
        <v>964687.5</v>
      </c>
      <c r="P322" s="44">
        <f>(B322-B321)*T321^3/12+(B322-B321)*T321*(T321/2-P314)^2+(B322-B321)*(T322-T321)^3/36+(B322-B321)*(T322-T321)/2*(T321+(T322-T321)/3-P314)^2</f>
        <v>100603125.00000003</v>
      </c>
      <c r="Q322" s="44">
        <f t="shared" si="50"/>
        <v>-2159062.5</v>
      </c>
      <c r="R322" s="44">
        <f>T321*(B322-B321)^3/12+T321*(B322-B321)*(B321+(B322-B321)/2-G348)^2+(T322-T321)*(B322-B321)^3/36+(T322-T321)/2*(B322-B321)*(B321+2/3*(B322-B321)-G348)^2</f>
        <v>105599083.79279603</v>
      </c>
      <c r="S322" s="213">
        <f t="shared" si="51"/>
        <v>-113350781.25</v>
      </c>
      <c r="T322" s="44">
        <f t="shared" si="45"/>
        <v>105</v>
      </c>
      <c r="U322" s="67">
        <f t="shared" si="52"/>
        <v>1</v>
      </c>
      <c r="V322" s="67">
        <f>IF(AND(W322=W315,B322=B315),"A",1)</f>
        <v>1</v>
      </c>
      <c r="W322" s="214">
        <f>(A322-A315)</f>
        <v>105</v>
      </c>
    </row>
    <row r="323" spans="1:23" x14ac:dyDescent="0.2">
      <c r="A323" s="211">
        <f>+A322-5</f>
        <v>100</v>
      </c>
      <c r="B323" s="212">
        <f>B318</f>
        <v>-25</v>
      </c>
      <c r="L323" s="44">
        <f t="shared" si="46"/>
        <v>102.5</v>
      </c>
      <c r="M323" s="44">
        <f t="shared" si="47"/>
        <v>5</v>
      </c>
      <c r="N323" s="44">
        <f t="shared" si="48"/>
        <v>512.5</v>
      </c>
      <c r="O323" s="44">
        <f t="shared" si="49"/>
        <v>26270.833333333332</v>
      </c>
      <c r="P323" s="44">
        <f>(B323-B322)*T322^3/12+(B323-B322)*T322*(T322/2-P314)^2+(B323-B322)*(T323-T322)^3/36+(B323-B322)*(T323-T322)/2*(T322+(T323-T322)/3-P314)^2</f>
        <v>2870885.4166666679</v>
      </c>
      <c r="Q323" s="44">
        <f t="shared" si="50"/>
        <v>-14104.166666666666</v>
      </c>
      <c r="R323" s="44">
        <f>T322*(B323-B322)^3/12+T322*(B323-B322)*(B322+(B323-B322)/2-G348)^2+(T323-T322)*(B323-B322)^3/36+(T323-T322)/2*(B323-B322)*(B322+2/3*(B323-B322)-G348)^2</f>
        <v>574747.23655674211</v>
      </c>
      <c r="S323" s="213">
        <f t="shared" si="51"/>
        <v>-723524.3055555555</v>
      </c>
      <c r="T323" s="44">
        <f t="shared" si="45"/>
        <v>100</v>
      </c>
      <c r="U323" s="67">
        <f t="shared" si="52"/>
        <v>1</v>
      </c>
      <c r="V323" s="67">
        <f>IF(AND(W323=W315,B323=B315),"A",1)</f>
        <v>1</v>
      </c>
      <c r="W323" s="44">
        <f>(A323-A315)</f>
        <v>100</v>
      </c>
    </row>
    <row r="324" spans="1:23" x14ac:dyDescent="0.2">
      <c r="A324" s="211">
        <f>A315</f>
        <v>0</v>
      </c>
      <c r="B324" s="215">
        <f>+B323</f>
        <v>-25</v>
      </c>
      <c r="L324" s="44">
        <f t="shared" si="46"/>
        <v>50</v>
      </c>
      <c r="M324" s="44">
        <f t="shared" si="47"/>
        <v>0</v>
      </c>
      <c r="N324" s="44">
        <f t="shared" si="48"/>
        <v>0</v>
      </c>
      <c r="O324" s="44">
        <f t="shared" si="49"/>
        <v>0</v>
      </c>
      <c r="P324" s="44">
        <f>(B324-B323)*T323^3/12+(B324-B323)*T323*(T323/2-P314)^2+(B324-B323)*(T324-T323)^3/36+(B324-B323)*(T324-T323)/2*(T323+(T324-T323)/3-P314)^2</f>
        <v>0</v>
      </c>
      <c r="Q324" s="44">
        <f t="shared" si="50"/>
        <v>0</v>
      </c>
      <c r="R324" s="44">
        <f>T323*(B324-B323)^3/12+T323*(B324-B323)*(B323+(B324-B323)/2-G348)^2+(T324-T323)*(B324-B323)^3/36+(T324-T323)/2*(B324-B323)*(B323+2/3*(B324-B323)-G348)^2</f>
        <v>0</v>
      </c>
      <c r="S324" s="213">
        <f t="shared" si="51"/>
        <v>0</v>
      </c>
      <c r="T324" s="44">
        <f t="shared" si="45"/>
        <v>0</v>
      </c>
      <c r="U324" s="67">
        <f t="shared" si="52"/>
        <v>1</v>
      </c>
      <c r="V324" s="67">
        <f>IF(AND(W324=W315,B324=B315),"A",1)</f>
        <v>1</v>
      </c>
      <c r="W324" s="44">
        <f>(A324-A315)</f>
        <v>0</v>
      </c>
    </row>
    <row r="325" spans="1:23" x14ac:dyDescent="0.2">
      <c r="A325" s="212">
        <f>A324</f>
        <v>0</v>
      </c>
      <c r="B325" s="212">
        <f>B315</f>
        <v>0</v>
      </c>
      <c r="L325" s="44">
        <f t="shared" si="46"/>
        <v>0</v>
      </c>
      <c r="M325" s="44">
        <f t="shared" si="47"/>
        <v>25</v>
      </c>
      <c r="N325" s="44">
        <f t="shared" si="48"/>
        <v>0</v>
      </c>
      <c r="O325" s="44">
        <f t="shared" si="49"/>
        <v>0</v>
      </c>
      <c r="P325" s="44">
        <f>(B325-B324)*T324^3/12+(B325-B324)*T324*(T324/2-P314)^2+(B325-B324)*(T325-T324)^3/36+(B325-B324)*(T325-T324)/2*(T324+(T325-T324)/3-P314)^2</f>
        <v>0</v>
      </c>
      <c r="Q325" s="44">
        <f t="shared" si="50"/>
        <v>0</v>
      </c>
      <c r="R325" s="44">
        <f>T324*(B325-B324)^3/12+T324*(B325-B324)*(B324+(B325-B324)/2-G348)^2+(T325-T324)*(B325-B324)^3/36+(T325-T324)/2*(B325-B324)*(B324+2/3*(B325-B324)-G348)^2</f>
        <v>0</v>
      </c>
      <c r="S325" s="213">
        <f t="shared" si="51"/>
        <v>0</v>
      </c>
      <c r="T325" s="44">
        <f t="shared" si="45"/>
        <v>0</v>
      </c>
      <c r="U325" s="67">
        <f t="shared" si="52"/>
        <v>0</v>
      </c>
      <c r="V325" s="67" t="str">
        <f>IF(AND(W325=W315,B325=B315),"A",1)</f>
        <v>A</v>
      </c>
      <c r="W325" s="44">
        <f>(A325-A315)</f>
        <v>0</v>
      </c>
    </row>
    <row r="326" spans="1:23" hidden="1" x14ac:dyDescent="0.2">
      <c r="A326" s="212">
        <f>A324</f>
        <v>0</v>
      </c>
      <c r="B326" s="211">
        <v>0</v>
      </c>
      <c r="L326" s="44">
        <f t="shared" si="46"/>
        <v>0</v>
      </c>
      <c r="M326" s="44">
        <f t="shared" si="47"/>
        <v>0</v>
      </c>
      <c r="N326" s="44">
        <f t="shared" si="48"/>
        <v>0</v>
      </c>
      <c r="O326" s="44">
        <f t="shared" si="49"/>
        <v>0</v>
      </c>
      <c r="P326" s="44">
        <f>(B326-B325)*T325^3/12+(B326-B325)*T325*(T325/2-P314)^2+(B326-B325)*(T326-T325)^3/36+(B326-B325)*(T326-T325)/2*(T325+(T326-T325)/3-P314)^2</f>
        <v>0</v>
      </c>
      <c r="Q326" s="44">
        <f t="shared" si="50"/>
        <v>0</v>
      </c>
      <c r="R326" s="44">
        <f>T325*(B326-B325)^3/12+T325*(B326-B325)*(B325+(B326-B325)/2-G348)^2+(T326-T325)*(B326-B325)^3/36+(T326-T325)/2*(B326-B325)*(B325+2/3*(B326-B325)-G348)^2</f>
        <v>0</v>
      </c>
      <c r="S326" s="213">
        <f t="shared" si="51"/>
        <v>0</v>
      </c>
      <c r="T326" s="44">
        <f t="shared" si="45"/>
        <v>0</v>
      </c>
      <c r="U326" s="67">
        <f t="shared" si="52"/>
        <v>0</v>
      </c>
      <c r="V326" s="67" t="str">
        <f>IF(AND(W326=W315,B326=B315),"A",1)</f>
        <v>A</v>
      </c>
      <c r="W326" s="44">
        <f>(A326-A315)</f>
        <v>0</v>
      </c>
    </row>
    <row r="327" spans="1:23" hidden="1" x14ac:dyDescent="0.2">
      <c r="A327" s="211"/>
      <c r="B327" s="211"/>
      <c r="L327" s="44">
        <f t="shared" si="46"/>
        <v>0</v>
      </c>
      <c r="M327" s="44">
        <f t="shared" si="47"/>
        <v>0</v>
      </c>
      <c r="N327" s="44">
        <f t="shared" si="48"/>
        <v>0</v>
      </c>
      <c r="O327" s="44">
        <f t="shared" si="49"/>
        <v>0</v>
      </c>
      <c r="P327" s="44">
        <f>(B327-B326)*T326^3/12+(B327-B326)*T326*(T326/2-P314)^2+(B327-B326)*(T327-T326)^3/36+(B327-B326)*(T327-T326)/2*(T326+(T327-T326)/3-P314)^2</f>
        <v>0</v>
      </c>
      <c r="Q327" s="44">
        <f t="shared" si="50"/>
        <v>0</v>
      </c>
      <c r="R327" s="44">
        <f>T326*(B327-B326)^3/12+T326*(B327-B326)*(B326+(B327-B326)/2-G348)^2+(T327-T326)*(B327-B326)^3/36+(T327-T326)/2*(B327-B326)*(B326+2/3*(B327-B326)-G348)^2</f>
        <v>0</v>
      </c>
      <c r="S327" s="213">
        <f t="shared" si="51"/>
        <v>0</v>
      </c>
      <c r="T327" s="44">
        <f t="shared" si="45"/>
        <v>0</v>
      </c>
      <c r="U327" s="67">
        <f t="shared" si="52"/>
        <v>0</v>
      </c>
      <c r="V327" s="67" t="str">
        <f>IF(AND(W327=W315,B327=B315),"A",1)</f>
        <v>A</v>
      </c>
      <c r="W327" s="44">
        <f>(A327-A315)</f>
        <v>0</v>
      </c>
    </row>
    <row r="328" spans="1:23" hidden="1" x14ac:dyDescent="0.2">
      <c r="A328" s="211"/>
      <c r="B328" s="211"/>
      <c r="L328" s="44">
        <f t="shared" si="46"/>
        <v>0</v>
      </c>
      <c r="M328" s="44">
        <f t="shared" si="47"/>
        <v>0</v>
      </c>
      <c r="N328" s="44">
        <f t="shared" si="48"/>
        <v>0</v>
      </c>
      <c r="O328" s="44">
        <f t="shared" si="49"/>
        <v>0</v>
      </c>
      <c r="P328" s="44">
        <f>(B328-B327)*T327^3/12+(B328-B327)*T327*(T327/2-P314)^2+(B328-B327)*(T328-T327)^3/36+(B328-B327)*(T328-T327)/2*(T327+(T328-T327)/3-P314)^2</f>
        <v>0</v>
      </c>
      <c r="Q328" s="44">
        <f t="shared" si="50"/>
        <v>0</v>
      </c>
      <c r="R328" s="44">
        <f>T327*(B328-B327)^3/12+T327*(B328-B327)*(B327+(B328-B327)/2-G348)^2+(T328-T327)*(B328-B327)^3/36+(T328-T327)/2*(B328-B327)*(B327+2/3*(B328-B327)-G348)^2</f>
        <v>0</v>
      </c>
      <c r="S328" s="213">
        <f t="shared" si="51"/>
        <v>0</v>
      </c>
      <c r="T328" s="44">
        <f t="shared" si="45"/>
        <v>0</v>
      </c>
      <c r="U328" s="67">
        <f t="shared" si="52"/>
        <v>0</v>
      </c>
      <c r="V328" s="67" t="str">
        <f>IF(AND(W328=W315,B328=B315),"A",1)</f>
        <v>A</v>
      </c>
      <c r="W328" s="44">
        <f>(A328-A315)</f>
        <v>0</v>
      </c>
    </row>
    <row r="329" spans="1:23" hidden="1" x14ac:dyDescent="0.2">
      <c r="A329" s="211"/>
      <c r="B329" s="211"/>
      <c r="L329" s="44">
        <f t="shared" si="46"/>
        <v>0</v>
      </c>
      <c r="M329" s="44">
        <f t="shared" si="47"/>
        <v>0</v>
      </c>
      <c r="N329" s="44">
        <f t="shared" si="48"/>
        <v>0</v>
      </c>
      <c r="O329" s="44">
        <f t="shared" si="49"/>
        <v>0</v>
      </c>
      <c r="P329" s="44">
        <f>(B329-B328)*T328^3/12+(B329-B328)*T328*(T328/2-P314)^2+(B329-B328)*(T329-T328)^3/36+(B329-B328)*(T329-T328)/2*(T328+(T329-T328)/3-P314)^2</f>
        <v>0</v>
      </c>
      <c r="Q329" s="44">
        <f t="shared" si="50"/>
        <v>0</v>
      </c>
      <c r="R329" s="44">
        <f>T328*(B329-B328)^3/12+T328*(B329-B328)*(B328+(B329-B328)/2-G348)^2+(T329-T328)*(B329-B328)^3/36+(T329-T328)/2*(B329-B328)*(B328+2/3*(B329-B328)-G348)^2</f>
        <v>0</v>
      </c>
      <c r="S329" s="213">
        <f t="shared" si="51"/>
        <v>0</v>
      </c>
      <c r="T329" s="44">
        <f t="shared" si="45"/>
        <v>0</v>
      </c>
      <c r="U329" s="67">
        <f t="shared" si="52"/>
        <v>0</v>
      </c>
      <c r="V329" s="67" t="str">
        <f>IF(AND(W329=W315,B329=B315),"A",1)</f>
        <v>A</v>
      </c>
      <c r="W329" s="44">
        <f>(A329-A315)</f>
        <v>0</v>
      </c>
    </row>
    <row r="330" spans="1:23" hidden="1" x14ac:dyDescent="0.2">
      <c r="A330" s="211"/>
      <c r="B330" s="211"/>
      <c r="L330" s="44">
        <f t="shared" si="46"/>
        <v>0</v>
      </c>
      <c r="M330" s="44">
        <f t="shared" si="47"/>
        <v>0</v>
      </c>
      <c r="N330" s="44">
        <f t="shared" si="48"/>
        <v>0</v>
      </c>
      <c r="O330" s="44">
        <f t="shared" si="49"/>
        <v>0</v>
      </c>
      <c r="P330" s="44">
        <f>(B330-B329)*T329^3/12+(B330-B329)*T329*(T329/2-P314)^2+(B330-B329)*(T330-T329)^3/36+(B330-B329)*(T330-T329)/2*(T329+(T330-T329)/3-P314)^2</f>
        <v>0</v>
      </c>
      <c r="Q330" s="44">
        <f t="shared" si="50"/>
        <v>0</v>
      </c>
      <c r="R330" s="44">
        <f>T329*(B330-B329)^3/12+T329*(B330-B329)*(B329+(B330-B329)/2-G348)^2+(T330-T329)*(B330-B329)^3/36+(T330-T329)/2*(B330-B329)*(B329+2/3*(B330-B329)-G348)^2</f>
        <v>0</v>
      </c>
      <c r="S330" s="213">
        <f t="shared" si="51"/>
        <v>0</v>
      </c>
      <c r="T330" s="44">
        <f t="shared" si="45"/>
        <v>0</v>
      </c>
      <c r="U330" s="67">
        <f t="shared" si="52"/>
        <v>0</v>
      </c>
      <c r="V330" s="67" t="str">
        <f>IF(AND(W330=W315,B330=B315),"A",1)</f>
        <v>A</v>
      </c>
      <c r="W330" s="44">
        <f>(A330-A315)</f>
        <v>0</v>
      </c>
    </row>
    <row r="331" spans="1:23" hidden="1" x14ac:dyDescent="0.2">
      <c r="A331" s="211"/>
      <c r="B331" s="211"/>
      <c r="L331" s="44">
        <f t="shared" si="46"/>
        <v>0</v>
      </c>
      <c r="M331" s="44">
        <f t="shared" si="47"/>
        <v>0</v>
      </c>
      <c r="N331" s="44">
        <f t="shared" si="48"/>
        <v>0</v>
      </c>
      <c r="O331" s="44">
        <f t="shared" si="49"/>
        <v>0</v>
      </c>
      <c r="P331" s="44">
        <f>(B331-B330)*T330^3/12+(B331-B330)*T330*(T330/2-P314)^2+(B331-B330)*(T331-T330)^3/36+(B331-B330)*(T331-T330)/2*(T330+(T331-T330)/3-P314)^2</f>
        <v>0</v>
      </c>
      <c r="Q331" s="44">
        <f t="shared" si="50"/>
        <v>0</v>
      </c>
      <c r="R331" s="44">
        <f>T330*(B331-B330)^3/12+T330*(B331-B330)*(B330+(B331-B330)/2-G348)^2+(T331-T330)*(B331-B330)^3/36+(T331-T330)/2*(B331-B330)*(B330+2/3*(B331-B330)-G348)^2</f>
        <v>0</v>
      </c>
      <c r="S331" s="213">
        <f t="shared" si="51"/>
        <v>0</v>
      </c>
      <c r="T331" s="44">
        <f t="shared" si="45"/>
        <v>0</v>
      </c>
      <c r="U331" s="67">
        <f t="shared" si="52"/>
        <v>0</v>
      </c>
      <c r="V331" s="67" t="str">
        <f>IF(AND(W331=W315,B331=B315),"A",1)</f>
        <v>A</v>
      </c>
      <c r="W331" s="44">
        <f>(A331-A315)</f>
        <v>0</v>
      </c>
    </row>
    <row r="332" spans="1:23" hidden="1" x14ac:dyDescent="0.2">
      <c r="A332" s="211"/>
      <c r="B332" s="211"/>
      <c r="L332" s="44">
        <f t="shared" si="46"/>
        <v>0</v>
      </c>
      <c r="M332" s="44">
        <f t="shared" si="47"/>
        <v>0</v>
      </c>
      <c r="N332" s="44">
        <f t="shared" si="48"/>
        <v>0</v>
      </c>
      <c r="O332" s="44">
        <f t="shared" si="49"/>
        <v>0</v>
      </c>
      <c r="P332" s="44">
        <f>(B332-B331)*T331^3/12+(B332-B331)*T331*(T331/2-P314)^2+(B332-B331)*(T332-T331)^3/36+(B332-B331)*(T332-T331)/2*(T331+(T332-T331)/3-P314)^2</f>
        <v>0</v>
      </c>
      <c r="Q332" s="44">
        <f t="shared" si="50"/>
        <v>0</v>
      </c>
      <c r="R332" s="44">
        <f>T331*(B332-B331)^3/12+T331*(B332-B331)*(B331+(B332-B331)/2-G348)^2+(T332-T331)*(B332-B331)^3/36+(T332-T331)/2*(B332-B331)*(B331+2/3*(B332-B331)-G348)^2</f>
        <v>0</v>
      </c>
      <c r="S332" s="213">
        <f t="shared" si="51"/>
        <v>0</v>
      </c>
      <c r="T332" s="44">
        <f t="shared" si="45"/>
        <v>0</v>
      </c>
      <c r="U332" s="67">
        <f t="shared" si="52"/>
        <v>0</v>
      </c>
      <c r="V332" s="67" t="str">
        <f>IF(AND(W332=W315,B332=B315),"A",1)</f>
        <v>A</v>
      </c>
      <c r="W332" s="44">
        <f>(A332-A315)</f>
        <v>0</v>
      </c>
    </row>
    <row r="333" spans="1:23" hidden="1" x14ac:dyDescent="0.2">
      <c r="A333" s="211"/>
      <c r="B333" s="211"/>
      <c r="L333" s="44">
        <f t="shared" si="46"/>
        <v>0</v>
      </c>
      <c r="M333" s="44">
        <f t="shared" si="47"/>
        <v>0</v>
      </c>
      <c r="N333" s="44">
        <f t="shared" si="48"/>
        <v>0</v>
      </c>
      <c r="O333" s="44">
        <f t="shared" si="49"/>
        <v>0</v>
      </c>
      <c r="P333" s="44">
        <f>(B333-B332)*T332^3/12+(B333-B332)*T332*(T332/2-P314)^2+(B333-B332)*(T333-T332)^3/36+(B333-B332)*(T333-T332)/2*(T332+(T333-T332)/3-P314)^2</f>
        <v>0</v>
      </c>
      <c r="Q333" s="44">
        <f t="shared" si="50"/>
        <v>0</v>
      </c>
      <c r="R333" s="44">
        <f>T332*(B333-B332)^3/12+T332*(B333-B332)*(B332+(B333-B332)/2-G348)^2+(T333-T332)*(B333-B332)^3/36+(T333-T332)/2*(B333-B332)*(B332+2/3*(B333-B332)-G348)^2</f>
        <v>0</v>
      </c>
      <c r="S333" s="213">
        <f t="shared" si="51"/>
        <v>0</v>
      </c>
      <c r="T333" s="44">
        <f t="shared" si="45"/>
        <v>0</v>
      </c>
      <c r="U333" s="67">
        <f t="shared" si="52"/>
        <v>0</v>
      </c>
      <c r="V333" s="67" t="str">
        <f>IF(AND(W333=W315,B333=B315),"A",1)</f>
        <v>A</v>
      </c>
      <c r="W333" s="44">
        <f>(A333-A315)</f>
        <v>0</v>
      </c>
    </row>
    <row r="334" spans="1:23" hidden="1" x14ac:dyDescent="0.2">
      <c r="A334" s="211"/>
      <c r="B334" s="211"/>
      <c r="L334" s="44">
        <f t="shared" si="46"/>
        <v>0</v>
      </c>
      <c r="M334" s="44">
        <f t="shared" si="47"/>
        <v>0</v>
      </c>
      <c r="N334" s="44">
        <f t="shared" si="48"/>
        <v>0</v>
      </c>
      <c r="O334" s="44">
        <f t="shared" si="49"/>
        <v>0</v>
      </c>
      <c r="P334" s="44">
        <f>(B334-B333)*T333^3/12+(B334-B333)*T333*(T333/2-P314)^2+(B334-B333)*(T334-T333)^3/36+(B334-B333)*(T334-T333)/2*(T333+(T334-T333)/3-P314)^2</f>
        <v>0</v>
      </c>
      <c r="Q334" s="44">
        <f t="shared" si="50"/>
        <v>0</v>
      </c>
      <c r="R334" s="44">
        <f>T333*(B334-B333)^3/12+T333*(B334-B333)*(B333+(B334-B333)/2-G348)^2+(T334-T333)*(B334-B333)^3/36+(T334-T333)/2*(B334-B333)*(B333+2/3*(B334-B333)-G348)^2</f>
        <v>0</v>
      </c>
      <c r="S334" s="213">
        <f t="shared" si="51"/>
        <v>0</v>
      </c>
      <c r="T334" s="44">
        <f t="shared" si="45"/>
        <v>0</v>
      </c>
      <c r="U334" s="67">
        <f t="shared" si="52"/>
        <v>0</v>
      </c>
      <c r="V334" s="67" t="str">
        <f>IF(AND(W334=W315,B334=B315),"A",1)</f>
        <v>A</v>
      </c>
      <c r="W334" s="44">
        <f>(A334-A315)</f>
        <v>0</v>
      </c>
    </row>
    <row r="335" spans="1:23" hidden="1" x14ac:dyDescent="0.2">
      <c r="A335" s="211"/>
      <c r="B335" s="211"/>
      <c r="L335" s="44">
        <f t="shared" si="46"/>
        <v>0</v>
      </c>
      <c r="M335" s="44">
        <f t="shared" si="47"/>
        <v>0</v>
      </c>
      <c r="N335" s="44">
        <f t="shared" si="48"/>
        <v>0</v>
      </c>
      <c r="O335" s="44">
        <f t="shared" si="49"/>
        <v>0</v>
      </c>
      <c r="P335" s="44">
        <f>(B335-B334)*T334^3/12+(B335-B334)*T334*(T334/2-P314)^2+(B335-B334)*(T335-T334)^3/36+(B335-B334)*(T335-T334)/2*(T334+(T335-T334)/3-P314)^2</f>
        <v>0</v>
      </c>
      <c r="Q335" s="44">
        <f t="shared" si="50"/>
        <v>0</v>
      </c>
      <c r="R335" s="44">
        <f>T334*(B335-B334)^3/12+T334*(B335-B334)*(B334+(B335-B334)/2-G348)^2+(T335-T334)*(B335-B334)^3/36+(T335-T334)/2*(B335-B334)*(B334+2/3*(B335-B334)-G348)^2</f>
        <v>0</v>
      </c>
      <c r="S335" s="213">
        <f t="shared" si="51"/>
        <v>0</v>
      </c>
      <c r="T335" s="44">
        <f t="shared" si="45"/>
        <v>0</v>
      </c>
      <c r="U335" s="67">
        <f t="shared" si="52"/>
        <v>0</v>
      </c>
      <c r="V335" s="67" t="str">
        <f>IF(AND(W335=W315,B335=B315),"A",1)</f>
        <v>A</v>
      </c>
      <c r="W335" s="44">
        <f>(A335-A315)</f>
        <v>0</v>
      </c>
    </row>
    <row r="336" spans="1:23" hidden="1" x14ac:dyDescent="0.2">
      <c r="A336" s="211"/>
      <c r="B336" s="211"/>
      <c r="L336" s="44">
        <f t="shared" si="46"/>
        <v>0</v>
      </c>
      <c r="M336" s="44">
        <f t="shared" si="47"/>
        <v>0</v>
      </c>
      <c r="N336" s="44">
        <f t="shared" si="48"/>
        <v>0</v>
      </c>
      <c r="O336" s="44">
        <f t="shared" si="49"/>
        <v>0</v>
      </c>
      <c r="P336" s="44">
        <f>(B336-B335)*T335^3/12+(B336-B335)*T335*(T335/2-P314)^2+(B336-B335)*(T336-T335)^3/36+(B336-B335)*(T336-T335)/2*(T335+(T336-T335)/3-P314)^2</f>
        <v>0</v>
      </c>
      <c r="Q336" s="44">
        <f t="shared" si="50"/>
        <v>0</v>
      </c>
      <c r="R336" s="44">
        <f>T335*(B336-B335)^3/12+T335*(B336-B335)*(B335+(B336-B335)/2-G348)^2+(T336-T335)*(B336-B335)^3/36+(T336-T335)/2*(B336-B335)*(B335+2/3*(B336-B335)-G348)^2</f>
        <v>0</v>
      </c>
      <c r="S336" s="213">
        <f t="shared" si="51"/>
        <v>0</v>
      </c>
      <c r="T336" s="44">
        <f t="shared" si="45"/>
        <v>0</v>
      </c>
      <c r="U336" s="67">
        <f t="shared" si="52"/>
        <v>0</v>
      </c>
      <c r="V336" s="67" t="str">
        <f>IF(AND(W336=W315,B336=B315),"A",1)</f>
        <v>A</v>
      </c>
      <c r="W336" s="44">
        <f>(A336-A315)</f>
        <v>0</v>
      </c>
    </row>
    <row r="337" spans="1:23" hidden="1" x14ac:dyDescent="0.2">
      <c r="A337" s="211"/>
      <c r="B337" s="211"/>
      <c r="L337" s="44">
        <f t="shared" si="46"/>
        <v>0</v>
      </c>
      <c r="M337" s="44">
        <f t="shared" si="47"/>
        <v>0</v>
      </c>
      <c r="N337" s="44">
        <f t="shared" si="48"/>
        <v>0</v>
      </c>
      <c r="O337" s="44">
        <f t="shared" si="49"/>
        <v>0</v>
      </c>
      <c r="P337" s="44">
        <f>(B337-B336)*T336^3/12+(B337-B336)*T336*(T336/2-P314)^2+(B337-B336)*(T337-T336)^3/36+(B337-B336)*(T337-T336)/2*(T336+(T337-T336)/3-P314)^2</f>
        <v>0</v>
      </c>
      <c r="Q337" s="44">
        <f t="shared" si="50"/>
        <v>0</v>
      </c>
      <c r="R337" s="44">
        <f>T336*(B337-B336)^3/12+T336*(B337-B336)*(B336+(B337-B336)/2-G348)^2+(T337-T336)*(B337-B336)^3/36+(T337-T336)/2*(B337-B336)*(B336+2/3*(B337-B336)-G348)^2</f>
        <v>0</v>
      </c>
      <c r="S337" s="213">
        <f t="shared" si="51"/>
        <v>0</v>
      </c>
      <c r="T337" s="44">
        <f t="shared" si="45"/>
        <v>0</v>
      </c>
      <c r="U337" s="67">
        <f t="shared" si="52"/>
        <v>0</v>
      </c>
      <c r="V337" s="67" t="str">
        <f>IF(AND(W337=W315,B337=B315),"A",1)</f>
        <v>A</v>
      </c>
      <c r="W337" s="44">
        <f>(A337-A315)</f>
        <v>0</v>
      </c>
    </row>
    <row r="338" spans="1:23" hidden="1" x14ac:dyDescent="0.2">
      <c r="A338" s="211"/>
      <c r="B338" s="211"/>
      <c r="L338" s="44">
        <f t="shared" si="46"/>
        <v>0</v>
      </c>
      <c r="M338" s="44">
        <f t="shared" si="47"/>
        <v>0</v>
      </c>
      <c r="N338" s="44">
        <f t="shared" si="48"/>
        <v>0</v>
      </c>
      <c r="O338" s="44">
        <f t="shared" si="49"/>
        <v>0</v>
      </c>
      <c r="P338" s="44">
        <f>(B338-B337)*T337^3/12+(B338-B337)*T337*(T337/2-P314)^2+(B338-B337)*(T338-T337)^3/36+(B338-B337)*(T338-T337)/2*(T337+(T338-T337)/3-P314)^2</f>
        <v>0</v>
      </c>
      <c r="Q338" s="44">
        <f t="shared" si="50"/>
        <v>0</v>
      </c>
      <c r="R338" s="44">
        <f>T337*(B338-B337)^3/12+T337*(B338-B337)*(B337+(B338-B337)/2-G348)^2+(T338-T337)*(B338-B337)^3/36+(T338-T337)/2*(B338-B337)*(B337+2/3*(B338-B337)-G348)^2</f>
        <v>0</v>
      </c>
      <c r="S338" s="213">
        <f t="shared" si="51"/>
        <v>0</v>
      </c>
      <c r="T338" s="44">
        <f t="shared" si="45"/>
        <v>0</v>
      </c>
      <c r="U338" s="67">
        <f t="shared" si="52"/>
        <v>0</v>
      </c>
      <c r="V338" s="67" t="str">
        <f>IF(AND(W338=W315,B338=B315),"A",1)</f>
        <v>A</v>
      </c>
      <c r="W338" s="44">
        <f>(A338-A315)</f>
        <v>0</v>
      </c>
    </row>
    <row r="339" spans="1:23" hidden="1" x14ac:dyDescent="0.2">
      <c r="A339" s="216"/>
      <c r="B339" s="216"/>
      <c r="L339" s="44">
        <f t="shared" si="46"/>
        <v>0</v>
      </c>
      <c r="M339" s="44">
        <f t="shared" si="47"/>
        <v>0</v>
      </c>
      <c r="N339" s="44">
        <f t="shared" si="48"/>
        <v>0</v>
      </c>
      <c r="O339" s="44">
        <f t="shared" si="49"/>
        <v>0</v>
      </c>
      <c r="P339" s="44">
        <f>(B339-B338)*T338^3/12+(B339-B338)*T338*(T338/2-P314)^2+(B339-B338)*(T339-T338)^3/36+(B339-B338)*(T339-T338)/2*(T338+(T339-T338)/3-P314)^2</f>
        <v>0</v>
      </c>
      <c r="Q339" s="44">
        <f t="shared" si="50"/>
        <v>0</v>
      </c>
      <c r="R339" s="44">
        <f>T338*(B339-B338)^3/12+T338*(B339-B338)*(B338+(B339-B338)/2-G348)^2+(T339-T338)*(B339-B338)^3/36+(T339-T338)/2*(B339-B338)*(B338+2/3*(B339-B338)-G348)^2</f>
        <v>0</v>
      </c>
      <c r="S339" s="213">
        <f t="shared" si="51"/>
        <v>0</v>
      </c>
      <c r="T339" s="44">
        <f t="shared" si="45"/>
        <v>0</v>
      </c>
      <c r="U339" s="67">
        <f t="shared" si="52"/>
        <v>0</v>
      </c>
      <c r="V339" s="67" t="str">
        <f>IF(AND(W339=W315,B339=B315),"A",1)</f>
        <v>A</v>
      </c>
      <c r="W339" s="44">
        <f>(A339-A315)</f>
        <v>0</v>
      </c>
    </row>
    <row r="340" spans="1:23" hidden="1" x14ac:dyDescent="0.2">
      <c r="A340" s="216"/>
      <c r="B340" s="216"/>
      <c r="L340" s="44">
        <f t="shared" si="46"/>
        <v>0</v>
      </c>
      <c r="M340" s="44">
        <f t="shared" si="47"/>
        <v>0</v>
      </c>
      <c r="N340" s="44">
        <f t="shared" si="48"/>
        <v>0</v>
      </c>
      <c r="O340" s="44">
        <f t="shared" si="49"/>
        <v>0</v>
      </c>
      <c r="P340" s="44">
        <f>(B340-B339)*T339^3/12+(B340-B339)*T339*(T339/2-P314)^2+(B340-B339)*(T340-T339)^3/36+(B340-B339)*(T340-T339)/2*(T339+(T340-T339)/3-P314)^2</f>
        <v>0</v>
      </c>
      <c r="Q340" s="44">
        <f t="shared" si="50"/>
        <v>0</v>
      </c>
      <c r="R340" s="44">
        <f>T339*(B340-B339)^3/12+T339*(B340-B339)*(B339+(B340-B339)/2-G348)^2+(T340-T339)*(B340-B339)^3/36+(T340-T339)/2*(B340-B339)*(B339+2/3*(B340-B339)-G348)^2</f>
        <v>0</v>
      </c>
      <c r="S340" s="213">
        <f t="shared" si="51"/>
        <v>0</v>
      </c>
      <c r="T340" s="44">
        <f t="shared" si="45"/>
        <v>0</v>
      </c>
      <c r="U340" s="67">
        <f t="shared" si="52"/>
        <v>0</v>
      </c>
      <c r="V340" s="67" t="str">
        <f>IF(AND(W340=W315,B340=B315),"A",1)</f>
        <v>A</v>
      </c>
      <c r="W340" s="44">
        <f>(A340-A315)</f>
        <v>0</v>
      </c>
    </row>
    <row r="341" spans="1:23" hidden="1" x14ac:dyDescent="0.2">
      <c r="A341" s="216"/>
      <c r="B341" s="216"/>
      <c r="L341" s="44">
        <f t="shared" si="46"/>
        <v>0</v>
      </c>
      <c r="M341" s="44">
        <f t="shared" si="47"/>
        <v>0</v>
      </c>
      <c r="N341" s="44">
        <f t="shared" si="48"/>
        <v>0</v>
      </c>
      <c r="O341" s="44">
        <f t="shared" si="49"/>
        <v>0</v>
      </c>
      <c r="P341" s="44">
        <f>(B341-B340)*T340^3/12+(B341-B340)*T340*(T340/2-P314)^2+(B341-B340)*(T341-T340)^3/36+(B341-B340)*(T341-T340)/2*(T340+(T341-T340)/3-P314)^2</f>
        <v>0</v>
      </c>
      <c r="Q341" s="44">
        <f t="shared" si="50"/>
        <v>0</v>
      </c>
      <c r="R341" s="44">
        <f>T340*(B341-B340)^3/12+T340*(B341-B340)*(B340+(B341-B340)/2-G348)^2+(T341-T340)*(B341-B340)^3/36+(T341-T340)/2*(B341-B340)*(B340+2/3*(B341-B340)-G348)^2</f>
        <v>0</v>
      </c>
      <c r="S341" s="213">
        <f t="shared" si="51"/>
        <v>0</v>
      </c>
      <c r="T341" s="44">
        <f t="shared" si="45"/>
        <v>0</v>
      </c>
      <c r="U341" s="67">
        <f t="shared" si="52"/>
        <v>0</v>
      </c>
      <c r="V341" s="67" t="str">
        <f>IF(AND(W341=W315,B341=B315),"A",1)</f>
        <v>A</v>
      </c>
      <c r="W341" s="44">
        <f>(A341-A315)</f>
        <v>0</v>
      </c>
    </row>
    <row r="342" spans="1:23" hidden="1" x14ac:dyDescent="0.2">
      <c r="A342" s="216"/>
      <c r="B342" s="216"/>
      <c r="L342" s="44">
        <f t="shared" si="46"/>
        <v>0</v>
      </c>
      <c r="M342" s="44">
        <f t="shared" si="47"/>
        <v>0</v>
      </c>
      <c r="N342" s="44">
        <f t="shared" si="48"/>
        <v>0</v>
      </c>
      <c r="O342" s="44">
        <f t="shared" si="49"/>
        <v>0</v>
      </c>
      <c r="P342" s="44">
        <f>(B342-B341)*T341^3/12+(B342-B341)*T341*(T341/2-P314)^2+(B342-B341)*(T342-T341)^3/36+(B342-B341)*(T342-T341)/2*(T341+(T342-T341)/3-P314)^2</f>
        <v>0</v>
      </c>
      <c r="Q342" s="44">
        <f t="shared" si="50"/>
        <v>0</v>
      </c>
      <c r="R342" s="44">
        <f>T341*(B342-B341)^3/12+T341*(B342-B341)*(B341+(B342-B341)/2-G348)^2+(T342-T341)*(B342-B341)^3/36+(T342-T341)/2*(B342-B341)*(B341+2/3*(B342-B341)-G348)^2</f>
        <v>0</v>
      </c>
      <c r="S342" s="213">
        <f t="shared" si="51"/>
        <v>0</v>
      </c>
      <c r="T342" s="44">
        <f t="shared" si="45"/>
        <v>0</v>
      </c>
      <c r="U342" s="67">
        <f t="shared" si="52"/>
        <v>0</v>
      </c>
      <c r="V342" s="67" t="str">
        <f>IF(AND(W342=W315,B342=B315),"A",1)</f>
        <v>A</v>
      </c>
      <c r="W342" s="44">
        <f>(A342-A315)</f>
        <v>0</v>
      </c>
    </row>
    <row r="343" spans="1:23" hidden="1" x14ac:dyDescent="0.2">
      <c r="A343" s="216"/>
      <c r="B343" s="216"/>
      <c r="L343" s="44">
        <f t="shared" si="46"/>
        <v>0</v>
      </c>
      <c r="M343" s="44">
        <f t="shared" si="47"/>
        <v>0</v>
      </c>
      <c r="N343" s="44">
        <f t="shared" si="48"/>
        <v>0</v>
      </c>
      <c r="O343" s="44">
        <f t="shared" si="49"/>
        <v>0</v>
      </c>
      <c r="P343" s="44">
        <f>(B343-B342)*T342^3/12+(B343-B342)*T342*(T342/2-P314)^2+(B343-B342)*(T343-T342)^3/36+(B343-B342)*(T343-T342)/2*(T342+(T343-T342)/3-P314)^2</f>
        <v>0</v>
      </c>
      <c r="Q343" s="44">
        <f t="shared" si="50"/>
        <v>0</v>
      </c>
      <c r="R343" s="44">
        <f>T342*(B343-B342)^3/12+T342*(B343-B342)*(B342+(B343-B342)/2-G348)^2+(T343-T342)*(B343-B342)^3/36+(T343-T342)/2*(B343-B342)*(B342+2/3*(B343-B342)-G348)^2</f>
        <v>0</v>
      </c>
      <c r="S343" s="213">
        <f t="shared" si="51"/>
        <v>0</v>
      </c>
      <c r="T343" s="44">
        <f t="shared" si="45"/>
        <v>0</v>
      </c>
      <c r="U343" s="67">
        <f t="shared" si="52"/>
        <v>0</v>
      </c>
      <c r="V343" s="67" t="str">
        <f>IF(AND(W343=W315,B343=B315),"A",1)</f>
        <v>A</v>
      </c>
      <c r="W343" s="44">
        <f>(A343-A315)</f>
        <v>0</v>
      </c>
    </row>
    <row r="344" spans="1:23" hidden="1" x14ac:dyDescent="0.2">
      <c r="A344" s="216"/>
      <c r="B344" s="216"/>
      <c r="L344" s="44">
        <f t="shared" si="46"/>
        <v>0</v>
      </c>
      <c r="M344" s="44">
        <f t="shared" si="47"/>
        <v>0</v>
      </c>
      <c r="N344" s="44">
        <f t="shared" si="48"/>
        <v>0</v>
      </c>
      <c r="O344" s="44">
        <f t="shared" si="49"/>
        <v>0</v>
      </c>
      <c r="P344" s="44">
        <f>(B344-B343)*T343^3/12+(B344-B343)*T343*(T343/2-P314)^2+(B344-B343)*(T344-T343)^3/36+(B344-B343)*(T344-T343)/2*(T343+(T344-T343)/3-P314)^2</f>
        <v>0</v>
      </c>
      <c r="Q344" s="44">
        <f t="shared" si="50"/>
        <v>0</v>
      </c>
      <c r="R344" s="44">
        <f>T343*(B344-B343)^3/12+T343*(B344-B343)*(B343+(B344-B343)/2-G348)^2+(T344-T343)*(B344-B343)^3/36+(T344-T343)/2*(B344-B343)*(B343+2/3*(B344-B343)-G348)^2</f>
        <v>0</v>
      </c>
      <c r="S344" s="213">
        <f t="shared" si="51"/>
        <v>0</v>
      </c>
      <c r="T344" s="44">
        <f t="shared" si="45"/>
        <v>0</v>
      </c>
      <c r="U344" s="67">
        <f t="shared" si="52"/>
        <v>0</v>
      </c>
      <c r="V344" s="67" t="str">
        <f>IF(AND(W344=W315,B344=B315),"A",1)</f>
        <v>A</v>
      </c>
      <c r="W344" s="44">
        <f>(A344-A315)</f>
        <v>0</v>
      </c>
    </row>
    <row r="345" spans="1:23" hidden="1" x14ac:dyDescent="0.2">
      <c r="A345" s="44"/>
      <c r="N345" s="214">
        <f t="shared" ref="N345:S345" si="53">SUM(N316:N344)</f>
        <v>-11425</v>
      </c>
      <c r="O345" s="44">
        <f t="shared" si="53"/>
        <v>-1371000.0000000002</v>
      </c>
      <c r="P345" s="217">
        <f t="shared" si="53"/>
        <v>-29211979.166666675</v>
      </c>
      <c r="Q345" s="44">
        <f t="shared" si="53"/>
        <v>696666.66666666686</v>
      </c>
      <c r="R345" s="44">
        <f t="shared" si="53"/>
        <v>-44781898.32543157</v>
      </c>
      <c r="S345" s="213">
        <f t="shared" si="53"/>
        <v>83599982.638888896</v>
      </c>
    </row>
    <row r="346" spans="1:23" ht="12.55" x14ac:dyDescent="0.2">
      <c r="A346" s="44"/>
      <c r="C346" s="207"/>
      <c r="F346" s="67" t="s">
        <v>6</v>
      </c>
      <c r="G346" s="44">
        <f>ABS(N345)</f>
        <v>11425</v>
      </c>
      <c r="H346" s="44" t="s">
        <v>909</v>
      </c>
      <c r="Q346" s="67"/>
      <c r="S346" s="213"/>
    </row>
    <row r="347" spans="1:23" x14ac:dyDescent="0.2">
      <c r="A347" s="44"/>
      <c r="C347" s="207"/>
      <c r="F347" s="67" t="s">
        <v>8</v>
      </c>
      <c r="G347" s="157">
        <f>A315+O345/N345</f>
        <v>120.00000000000001</v>
      </c>
      <c r="H347" s="44" t="s">
        <v>21</v>
      </c>
      <c r="Q347" s="67"/>
      <c r="S347" s="213"/>
    </row>
    <row r="348" spans="1:23" x14ac:dyDescent="0.2">
      <c r="A348" s="44"/>
      <c r="C348" s="207"/>
      <c r="F348" s="67" t="s">
        <v>9</v>
      </c>
      <c r="G348" s="157">
        <f>Q345/N345</f>
        <v>-60.977388767323141</v>
      </c>
      <c r="H348" s="44" t="s">
        <v>21</v>
      </c>
      <c r="S348" s="213"/>
    </row>
    <row r="349" spans="1:23" ht="12.55" x14ac:dyDescent="0.2">
      <c r="A349" s="44"/>
      <c r="F349" s="67" t="s">
        <v>10</v>
      </c>
      <c r="G349" s="44">
        <f>ABS(R345)</f>
        <v>44781898.32543157</v>
      </c>
      <c r="H349" s="44" t="s">
        <v>910</v>
      </c>
      <c r="S349" s="218"/>
    </row>
    <row r="350" spans="1:23" ht="12.55" x14ac:dyDescent="0.2">
      <c r="A350" s="44"/>
      <c r="F350" s="67" t="s">
        <v>12</v>
      </c>
      <c r="G350" s="44">
        <f>ABS(P345)</f>
        <v>29211979.166666675</v>
      </c>
      <c r="H350" s="44" t="s">
        <v>910</v>
      </c>
      <c r="R350" s="131"/>
    </row>
    <row r="351" spans="1:23" x14ac:dyDescent="0.2">
      <c r="A351" s="44"/>
      <c r="F351" s="219" t="s">
        <v>123</v>
      </c>
      <c r="G351" s="220"/>
    </row>
    <row r="352" spans="1:23" ht="11.9" x14ac:dyDescent="0.25">
      <c r="A352" s="44"/>
      <c r="F352" s="221" t="s">
        <v>911</v>
      </c>
      <c r="G352" s="157">
        <f>ABS(B321-G348)</f>
        <v>144.02261123267687</v>
      </c>
      <c r="H352" s="44" t="s">
        <v>21</v>
      </c>
    </row>
    <row r="353" spans="1:10" x14ac:dyDescent="0.2">
      <c r="A353" s="44"/>
      <c r="F353" s="221" t="s">
        <v>130</v>
      </c>
      <c r="G353" s="157">
        <f>ABS(-B323+G348)</f>
        <v>35.977388767323141</v>
      </c>
    </row>
    <row r="354" spans="1:10" ht="11.9" x14ac:dyDescent="0.25">
      <c r="A354" s="44"/>
      <c r="F354" s="221" t="s">
        <v>912</v>
      </c>
      <c r="G354" s="157">
        <f>ABS(G348)</f>
        <v>60.977388767323141</v>
      </c>
      <c r="H354" s="44" t="s">
        <v>21</v>
      </c>
    </row>
    <row r="355" spans="1:10" ht="12.55" x14ac:dyDescent="0.2">
      <c r="A355" s="44"/>
      <c r="F355" s="67" t="s">
        <v>127</v>
      </c>
      <c r="G355" s="44">
        <f>G349/G352</f>
        <v>310936.58101423964</v>
      </c>
      <c r="H355" s="44" t="s">
        <v>913</v>
      </c>
    </row>
    <row r="356" spans="1:10" ht="12.55" x14ac:dyDescent="0.2">
      <c r="A356" s="44"/>
      <c r="F356" s="67" t="s">
        <v>128</v>
      </c>
      <c r="G356" s="44">
        <f>G349/G353</f>
        <v>1244723.4182294302</v>
      </c>
      <c r="H356" s="44" t="s">
        <v>913</v>
      </c>
    </row>
    <row r="357" spans="1:10" ht="12.55" x14ac:dyDescent="0.2">
      <c r="A357" s="44"/>
      <c r="F357" s="67" t="s">
        <v>129</v>
      </c>
      <c r="G357" s="44">
        <f>G349/G354</f>
        <v>734401.70579146722</v>
      </c>
      <c r="H357" s="44" t="s">
        <v>913</v>
      </c>
    </row>
    <row r="358" spans="1:10" x14ac:dyDescent="0.2">
      <c r="A358" s="44"/>
      <c r="F358" s="67" t="s">
        <v>138</v>
      </c>
      <c r="G358" s="67">
        <f>'Girder Property'!I16*(G346+N317)/100^2</f>
        <v>13.02</v>
      </c>
      <c r="H358" s="44" t="s">
        <v>139</v>
      </c>
    </row>
    <row r="359" spans="1:10" x14ac:dyDescent="0.2">
      <c r="A359" s="44"/>
      <c r="F359" s="67" t="s">
        <v>140</v>
      </c>
      <c r="G359" s="157">
        <f>'Girder Property'!I13*SQRT(('Girder Property'!I13)^2*2)*'Girder Property'!I317*'Girder Property'!I16/'Girder Property'!I13</f>
        <v>20.364675298172568</v>
      </c>
      <c r="H359" s="44" t="s">
        <v>139</v>
      </c>
    </row>
    <row r="360" spans="1:10" x14ac:dyDescent="0.2">
      <c r="A360" s="44"/>
      <c r="F360" s="67" t="s">
        <v>141</v>
      </c>
      <c r="G360" s="157">
        <f>SUM(G358:G359)</f>
        <v>33.384675298172567</v>
      </c>
      <c r="H360" s="44" t="s">
        <v>139</v>
      </c>
    </row>
    <row r="361" spans="1:10" x14ac:dyDescent="0.2">
      <c r="A361" s="44"/>
      <c r="D361" s="44" t="s">
        <v>142</v>
      </c>
    </row>
    <row r="362" spans="1:10" ht="11.9" x14ac:dyDescent="0.25">
      <c r="A362" s="44"/>
      <c r="F362" s="44" t="s">
        <v>914</v>
      </c>
      <c r="G362" s="44">
        <f>G360*2*'Girder Property'!I13/3</f>
        <v>53.415480477076102</v>
      </c>
      <c r="H362" s="44" t="s">
        <v>25</v>
      </c>
    </row>
    <row r="363" spans="1:10" x14ac:dyDescent="0.2">
      <c r="A363" s="44"/>
    </row>
    <row r="364" spans="1:10" x14ac:dyDescent="0.2">
      <c r="A364" s="44"/>
      <c r="D364" s="44" t="s">
        <v>1046</v>
      </c>
    </row>
    <row r="365" spans="1:10" x14ac:dyDescent="0.2">
      <c r="A365" s="44"/>
      <c r="D365" s="207" t="s">
        <v>413</v>
      </c>
      <c r="H365" s="44" t="s">
        <v>24</v>
      </c>
      <c r="I365" s="44">
        <f>700*('Girder Property'!I15-1.8/2)/'Girder Property'!I15</f>
        <v>658</v>
      </c>
      <c r="J365" s="44" t="s">
        <v>25</v>
      </c>
    </row>
    <row r="366" spans="1:10" x14ac:dyDescent="0.2">
      <c r="A366" s="44"/>
      <c r="D366" s="207" t="s">
        <v>414</v>
      </c>
      <c r="H366" s="44" t="s">
        <v>24</v>
      </c>
      <c r="I366" s="157">
        <f>I365/3</f>
        <v>219.33333333333334</v>
      </c>
      <c r="J366" s="44" t="s">
        <v>25</v>
      </c>
    </row>
    <row r="367" spans="1:10" x14ac:dyDescent="0.2">
      <c r="A367" s="44"/>
      <c r="D367" s="207" t="s">
        <v>424</v>
      </c>
      <c r="H367" s="44" t="s">
        <v>24</v>
      </c>
      <c r="I367" s="157">
        <f>1.1*I366*('Girder Property'!I13-'Girder Property'!$A$329*2/100)</f>
        <v>506.66000000000008</v>
      </c>
      <c r="J367" s="44" t="s">
        <v>23</v>
      </c>
    </row>
    <row r="368" spans="1:10" x14ac:dyDescent="0.2">
      <c r="A368" s="44"/>
      <c r="D368" s="207" t="s">
        <v>415</v>
      </c>
      <c r="H368" s="44" t="s">
        <v>24</v>
      </c>
      <c r="I368" s="157">
        <f>G362*('Girder Property'!I13-'Girder Property'!$A$329*2/100)</f>
        <v>112.17250900185982</v>
      </c>
      <c r="J368" s="44" t="s">
        <v>23</v>
      </c>
    </row>
    <row r="369" spans="1:12" x14ac:dyDescent="0.2">
      <c r="A369" s="44"/>
      <c r="D369" s="207" t="s">
        <v>416</v>
      </c>
      <c r="H369" s="44" t="s">
        <v>24</v>
      </c>
      <c r="I369" s="157">
        <f>SUM(I367:I368)</f>
        <v>618.83250900185988</v>
      </c>
      <c r="J369" s="44" t="s">
        <v>23</v>
      </c>
    </row>
    <row r="370" spans="1:12" x14ac:dyDescent="0.2">
      <c r="A370" s="44"/>
      <c r="D370" s="207" t="s">
        <v>417</v>
      </c>
      <c r="H370" s="44" t="s">
        <v>24</v>
      </c>
      <c r="I370" s="157">
        <f>I366*1.1+G362</f>
        <v>294.68214714374278</v>
      </c>
      <c r="J370" s="44" t="s">
        <v>25</v>
      </c>
    </row>
    <row r="371" spans="1:12" x14ac:dyDescent="0.2">
      <c r="A371" s="44"/>
      <c r="D371" s="207"/>
    </row>
    <row r="372" spans="1:12" x14ac:dyDescent="0.2">
      <c r="A372" s="44"/>
      <c r="D372" s="207" t="s">
        <v>418</v>
      </c>
      <c r="H372" s="44" t="s">
        <v>24</v>
      </c>
      <c r="I372" s="157">
        <f>ABS(B320)-50</f>
        <v>155</v>
      </c>
      <c r="J372" s="44" t="s">
        <v>21</v>
      </c>
    </row>
    <row r="373" spans="1:12" ht="12.55" x14ac:dyDescent="0.2">
      <c r="A373" s="44"/>
      <c r="D373" s="207" t="s">
        <v>419</v>
      </c>
      <c r="H373" s="44" t="s">
        <v>24</v>
      </c>
      <c r="I373" s="157">
        <f>I369*10000/('Girder Property'!I66*0.9*I372)</f>
        <v>22.180376666733327</v>
      </c>
      <c r="J373" s="44" t="s">
        <v>909</v>
      </c>
    </row>
    <row r="374" spans="1:12" x14ac:dyDescent="0.2">
      <c r="A374" s="44"/>
      <c r="D374" s="207" t="s">
        <v>420</v>
      </c>
      <c r="H374" s="44" t="s">
        <v>24</v>
      </c>
      <c r="I374" s="80">
        <v>25</v>
      </c>
      <c r="J374" s="44" t="s">
        <v>42</v>
      </c>
    </row>
    <row r="375" spans="1:12" x14ac:dyDescent="0.2">
      <c r="A375" s="44"/>
      <c r="D375" s="207" t="s">
        <v>421</v>
      </c>
      <c r="H375" s="44" t="s">
        <v>24</v>
      </c>
      <c r="I375" s="80">
        <v>5</v>
      </c>
      <c r="K375" s="83">
        <f>I375*PI()/4*I374^2/100</f>
        <v>24.543692606170257</v>
      </c>
      <c r="L375" s="83" t="str">
        <f>IF(K375&gt;I373,"ok","not ok")</f>
        <v>ok</v>
      </c>
    </row>
    <row r="376" spans="1:12" ht="12.55" x14ac:dyDescent="0.2">
      <c r="A376" s="44"/>
      <c r="D376" s="207" t="s">
        <v>422</v>
      </c>
      <c r="H376" s="44" t="s">
        <v>24</v>
      </c>
      <c r="I376" s="157">
        <f>I370*100/(I372*0.9*'Girder Property'!I225/10)</f>
        <v>7.0413894180105796</v>
      </c>
      <c r="J376" s="44" t="s">
        <v>915</v>
      </c>
    </row>
    <row r="377" spans="1:12" x14ac:dyDescent="0.2">
      <c r="A377" s="44"/>
      <c r="D377" s="207" t="s">
        <v>423</v>
      </c>
      <c r="H377" s="44" t="s">
        <v>24</v>
      </c>
      <c r="I377" s="44" t="s">
        <v>143</v>
      </c>
    </row>
    <row r="378" spans="1:12" ht="12.55" x14ac:dyDescent="0.2">
      <c r="A378" s="44"/>
      <c r="D378" s="207"/>
      <c r="H378" s="44" t="s">
        <v>24</v>
      </c>
      <c r="I378" s="157">
        <f>0.15%*'Girder Property'!I225*I372/10</f>
        <v>6.9749999999999996</v>
      </c>
      <c r="J378" s="44" t="s">
        <v>909</v>
      </c>
    </row>
    <row r="379" spans="1:12" x14ac:dyDescent="0.2">
      <c r="A379" s="44"/>
      <c r="D379" s="207" t="s">
        <v>420</v>
      </c>
      <c r="H379" s="44" t="s">
        <v>24</v>
      </c>
      <c r="I379" s="44">
        <v>8</v>
      </c>
      <c r="J379" s="44" t="s">
        <v>42</v>
      </c>
    </row>
    <row r="380" spans="1:12" x14ac:dyDescent="0.2">
      <c r="A380" s="44"/>
      <c r="D380" s="207" t="s">
        <v>412</v>
      </c>
      <c r="H380" s="44" t="s">
        <v>24</v>
      </c>
      <c r="I380" s="157">
        <f>(2*PI()/4*I379^2/100)/(I378)*1000</f>
        <v>144.130415648564</v>
      </c>
      <c r="J380" s="44" t="s">
        <v>42</v>
      </c>
      <c r="K380" s="81"/>
      <c r="L380" s="81"/>
    </row>
    <row r="381" spans="1:12" x14ac:dyDescent="0.2">
      <c r="A381" s="44"/>
      <c r="D381" s="207"/>
      <c r="I381" s="157"/>
      <c r="K381" s="81"/>
      <c r="L381" s="81"/>
    </row>
    <row r="382" spans="1:12" x14ac:dyDescent="0.2">
      <c r="A382" s="44"/>
      <c r="B382" s="68" t="s">
        <v>1067</v>
      </c>
      <c r="D382" s="207"/>
      <c r="I382" s="157"/>
      <c r="K382" s="81"/>
      <c r="L382" s="81"/>
    </row>
    <row r="383" spans="1:12" x14ac:dyDescent="0.2">
      <c r="A383" s="44"/>
      <c r="B383" s="44" t="s">
        <v>1062</v>
      </c>
      <c r="D383" s="207" t="s">
        <v>1068</v>
      </c>
      <c r="I383" s="157"/>
      <c r="K383" s="81"/>
      <c r="L383" s="81"/>
    </row>
    <row r="384" spans="1:12" x14ac:dyDescent="0.2">
      <c r="A384" s="44"/>
      <c r="C384" s="67" t="s">
        <v>24</v>
      </c>
      <c r="D384" s="207">
        <f>dwt/1000+scg/10*0.7</f>
        <v>1.3499999999999999</v>
      </c>
      <c r="E384" s="44" t="s">
        <v>19</v>
      </c>
      <c r="I384" s="157"/>
      <c r="K384" s="81"/>
      <c r="L384" s="81"/>
    </row>
    <row r="385" spans="1:12" x14ac:dyDescent="0.2">
      <c r="A385" s="44"/>
      <c r="B385" s="44" t="s">
        <v>1066</v>
      </c>
      <c r="D385" s="207">
        <f>ds/100*D384*gd+'Girder Property'!$I$93*D384</f>
        <v>13.5</v>
      </c>
      <c r="E385" s="44" t="s">
        <v>139</v>
      </c>
      <c r="I385" s="157"/>
      <c r="K385" s="81"/>
      <c r="L385" s="81"/>
    </row>
    <row r="386" spans="1:12" x14ac:dyDescent="0.2">
      <c r="A386" s="44"/>
      <c r="D386" s="207"/>
      <c r="I386" s="157"/>
      <c r="K386" s="81"/>
      <c r="L386" s="81"/>
    </row>
    <row r="387" spans="1:12" x14ac:dyDescent="0.2">
      <c r="A387" s="44"/>
      <c r="D387" s="207"/>
      <c r="I387" s="157"/>
      <c r="K387" s="81"/>
      <c r="L387" s="81"/>
    </row>
    <row r="388" spans="1:12" x14ac:dyDescent="0.2">
      <c r="A388" s="44"/>
      <c r="B388" s="68" t="s">
        <v>1061</v>
      </c>
      <c r="D388" s="207"/>
      <c r="I388" s="157"/>
      <c r="K388" s="81"/>
      <c r="L388" s="81"/>
    </row>
    <row r="389" spans="1:12" x14ac:dyDescent="0.2">
      <c r="A389" s="44"/>
      <c r="B389" s="44" t="s">
        <v>1062</v>
      </c>
      <c r="D389" s="207" t="s">
        <v>1063</v>
      </c>
      <c r="I389" s="157"/>
      <c r="K389" s="81"/>
      <c r="L389" s="81"/>
    </row>
    <row r="390" spans="1:12" x14ac:dyDescent="0.2">
      <c r="A390" s="44"/>
      <c r="C390" s="67" t="s">
        <v>24</v>
      </c>
      <c r="D390" s="207">
        <f>dwt/1000+scg/5*0.7</f>
        <v>2.3999999999999995</v>
      </c>
      <c r="E390" s="44" t="s">
        <v>19</v>
      </c>
      <c r="I390" s="157"/>
      <c r="K390" s="81"/>
      <c r="L390" s="81"/>
    </row>
    <row r="391" spans="1:12" x14ac:dyDescent="0.2">
      <c r="A391" s="44"/>
      <c r="B391" s="44" t="s">
        <v>1066</v>
      </c>
      <c r="D391" s="207">
        <f>ds/100*D390*gd+'Girder Property'!$I$93*D390</f>
        <v>23.999999999999993</v>
      </c>
      <c r="E391" s="44" t="s">
        <v>139</v>
      </c>
      <c r="I391" s="157"/>
      <c r="K391" s="81"/>
      <c r="L391" s="81"/>
    </row>
    <row r="392" spans="1:12" x14ac:dyDescent="0.2">
      <c r="A392" s="44"/>
      <c r="D392" s="207"/>
      <c r="I392" s="157"/>
      <c r="K392" s="81"/>
      <c r="L392" s="81"/>
    </row>
    <row r="393" spans="1:12" s="47" customFormat="1" x14ac:dyDescent="0.2">
      <c r="B393" s="270" t="s">
        <v>976</v>
      </c>
      <c r="K393" s="271"/>
      <c r="L393" s="271"/>
    </row>
    <row r="394" spans="1:12" s="47" customFormat="1" x14ac:dyDescent="0.2">
      <c r="B394" s="47" t="s">
        <v>525</v>
      </c>
      <c r="D394" s="47" t="s">
        <v>977</v>
      </c>
      <c r="G394" s="272">
        <f>1+4.5/(6+s)</f>
        <v>1.5357142857142856</v>
      </c>
      <c r="K394" s="271"/>
      <c r="L394" s="271"/>
    </row>
    <row r="395" spans="1:12" s="47" customFormat="1" x14ac:dyDescent="0.2">
      <c r="B395" s="47" t="s">
        <v>985</v>
      </c>
      <c r="F395" s="47" t="s">
        <v>24</v>
      </c>
      <c r="G395" s="273">
        <v>57</v>
      </c>
      <c r="H395" s="47" t="s">
        <v>25</v>
      </c>
      <c r="K395" s="271"/>
      <c r="L395" s="271"/>
    </row>
    <row r="396" spans="1:12" s="47" customFormat="1" x14ac:dyDescent="0.2">
      <c r="C396" s="47" t="s">
        <v>986</v>
      </c>
      <c r="F396" s="47" t="s">
        <v>24</v>
      </c>
      <c r="G396" s="272">
        <f>$G$394*G395</f>
        <v>87.535714285714278</v>
      </c>
      <c r="H396" s="47" t="s">
        <v>25</v>
      </c>
      <c r="K396" s="271"/>
      <c r="L396" s="271"/>
    </row>
    <row r="397" spans="1:12" s="47" customFormat="1" x14ac:dyDescent="0.2">
      <c r="G397" s="272"/>
    </row>
    <row r="398" spans="1:12" s="47" customFormat="1" x14ac:dyDescent="0.2">
      <c r="B398" s="270" t="s">
        <v>1002</v>
      </c>
    </row>
    <row r="399" spans="1:12" s="47" customFormat="1" x14ac:dyDescent="0.2">
      <c r="B399" s="270" t="s">
        <v>1045</v>
      </c>
    </row>
    <row r="400" spans="1:12" s="47" customFormat="1" x14ac:dyDescent="0.2">
      <c r="B400" s="47" t="s">
        <v>432</v>
      </c>
      <c r="F400" s="47" t="s">
        <v>24</v>
      </c>
      <c r="G400" s="321">
        <v>1.1000000000000001</v>
      </c>
    </row>
    <row r="401" spans="2:8" s="47" customFormat="1" x14ac:dyDescent="0.2">
      <c r="B401" s="47" t="s">
        <v>1008</v>
      </c>
      <c r="F401" s="47" t="s">
        <v>24</v>
      </c>
      <c r="G401" s="273">
        <v>350</v>
      </c>
      <c r="H401" s="47" t="s">
        <v>25</v>
      </c>
    </row>
    <row r="402" spans="2:8" s="47" customFormat="1" x14ac:dyDescent="0.2">
      <c r="C402" s="47" t="s">
        <v>986</v>
      </c>
      <c r="F402" s="47" t="s">
        <v>24</v>
      </c>
      <c r="G402" s="272">
        <f>$G$400*G401</f>
        <v>385.00000000000006</v>
      </c>
      <c r="H402" s="47" t="s">
        <v>25</v>
      </c>
    </row>
  </sheetData>
  <dataConsolidate/>
  <mergeCells count="51">
    <mergeCell ref="B19:B21"/>
    <mergeCell ref="B34:B36"/>
    <mergeCell ref="B73:C75"/>
    <mergeCell ref="B71:C71"/>
    <mergeCell ref="B93:C93"/>
    <mergeCell ref="B41:B43"/>
    <mergeCell ref="B69:C69"/>
    <mergeCell ref="L124:M124"/>
    <mergeCell ref="F93:G93"/>
    <mergeCell ref="H93:I93"/>
    <mergeCell ref="J93:K93"/>
    <mergeCell ref="L93:M93"/>
    <mergeCell ref="F124:G124"/>
    <mergeCell ref="H124:I124"/>
    <mergeCell ref="L84:M84"/>
    <mergeCell ref="B68:C68"/>
    <mergeCell ref="D65:E65"/>
    <mergeCell ref="F65:G65"/>
    <mergeCell ref="L3:M3"/>
    <mergeCell ref="B3:C4"/>
    <mergeCell ref="J3:K3"/>
    <mergeCell ref="J71:K71"/>
    <mergeCell ref="L71:M71"/>
    <mergeCell ref="F71:G71"/>
    <mergeCell ref="B25:B27"/>
    <mergeCell ref="H71:I71"/>
    <mergeCell ref="H65:I65"/>
    <mergeCell ref="D3:E3"/>
    <mergeCell ref="F3:G3"/>
    <mergeCell ref="H3:I3"/>
    <mergeCell ref="D71:E71"/>
    <mergeCell ref="J65:K65"/>
    <mergeCell ref="L65:M65"/>
    <mergeCell ref="B65:C66"/>
    <mergeCell ref="B67:C67"/>
    <mergeCell ref="D93:E93"/>
    <mergeCell ref="J124:K124"/>
    <mergeCell ref="D124:E124"/>
    <mergeCell ref="B95:C97"/>
    <mergeCell ref="D84:E84"/>
    <mergeCell ref="B84:C85"/>
    <mergeCell ref="F84:G84"/>
    <mergeCell ref="H84:I84"/>
    <mergeCell ref="J84:K84"/>
    <mergeCell ref="B87:C87"/>
    <mergeCell ref="B124:C125"/>
    <mergeCell ref="E222:L223"/>
    <mergeCell ref="C192:I194"/>
    <mergeCell ref="E206:J207"/>
    <mergeCell ref="E210:J211"/>
    <mergeCell ref="B127:C127"/>
  </mergeCells>
  <pageMargins left="0.3" right="0.3" top="0.75" bottom="0.75" header="0.3" footer="0.3"/>
  <pageSetup paperSize="9" orientation="landscape" r:id="rId1"/>
  <rowBreaks count="6" manualBreakCount="6">
    <brk id="31" max="13" man="1"/>
    <brk id="104" max="13" man="1"/>
    <brk id="175" max="13" man="1"/>
    <brk id="211" max="13" man="1"/>
    <brk id="244" max="13" man="1"/>
    <brk id="281" max="13"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Q261"/>
  <sheetViews>
    <sheetView topLeftCell="A11" zoomScaleNormal="100" workbookViewId="0">
      <selection activeCell="H26" sqref="H26:N27"/>
    </sheetView>
  </sheetViews>
  <sheetFormatPr defaultColWidth="9.109375" defaultRowHeight="10.65" x14ac:dyDescent="0.2"/>
  <cols>
    <col min="1" max="1" width="3.6640625" style="49" customWidth="1"/>
    <col min="2" max="2" width="40.5546875" style="49" customWidth="1"/>
    <col min="3" max="3" width="6.88671875" style="49" customWidth="1"/>
    <col min="4" max="4" width="10" style="49" customWidth="1"/>
    <col min="5" max="5" width="12.6640625" style="49" customWidth="1"/>
    <col min="6" max="16384" width="9.109375" style="49"/>
  </cols>
  <sheetData>
    <row r="1" spans="2:8" ht="11.9" hidden="1" x14ac:dyDescent="0.25">
      <c r="B1" s="48" t="s">
        <v>456</v>
      </c>
      <c r="C1" s="49" t="s">
        <v>866</v>
      </c>
      <c r="D1" s="50" t="s">
        <v>24</v>
      </c>
      <c r="E1" s="49">
        <v>150</v>
      </c>
      <c r="F1" s="49" t="s">
        <v>165</v>
      </c>
      <c r="G1" s="51">
        <f>E1*100/10</f>
        <v>1500</v>
      </c>
      <c r="H1" s="51" t="s">
        <v>164</v>
      </c>
    </row>
    <row r="2" spans="2:8" x14ac:dyDescent="0.2">
      <c r="B2" s="52" t="s">
        <v>549</v>
      </c>
      <c r="D2" s="50"/>
      <c r="G2" s="51"/>
      <c r="H2" s="51"/>
    </row>
    <row r="3" spans="2:8" x14ac:dyDescent="0.2">
      <c r="B3" s="49" t="s">
        <v>594</v>
      </c>
      <c r="C3" s="49" t="s">
        <v>595</v>
      </c>
      <c r="E3" s="53">
        <v>500</v>
      </c>
      <c r="F3" s="49" t="s">
        <v>42</v>
      </c>
    </row>
    <row r="4" spans="2:8" x14ac:dyDescent="0.2">
      <c r="C4" s="49" t="s">
        <v>428</v>
      </c>
      <c r="E4" s="53">
        <v>500</v>
      </c>
      <c r="F4" s="49" t="s">
        <v>42</v>
      </c>
    </row>
    <row r="5" spans="2:8" x14ac:dyDescent="0.2">
      <c r="B5" s="49" t="s">
        <v>840</v>
      </c>
      <c r="E5" s="53">
        <v>310</v>
      </c>
      <c r="F5" s="49" t="s">
        <v>42</v>
      </c>
    </row>
    <row r="6" spans="2:8" x14ac:dyDescent="0.2">
      <c r="B6" s="49" t="s">
        <v>549</v>
      </c>
      <c r="C6" s="49" t="s">
        <v>841</v>
      </c>
    </row>
    <row r="7" spans="2:8" x14ac:dyDescent="0.2">
      <c r="C7" s="49" t="s">
        <v>548</v>
      </c>
      <c r="E7" s="317">
        <f>MIN(0.48*fck*SQRT(E9/E8),0.8*fck)</f>
        <v>28.724641483601062</v>
      </c>
      <c r="F7" s="49" t="s">
        <v>165</v>
      </c>
    </row>
    <row r="8" spans="2:8" ht="12.55" x14ac:dyDescent="0.2">
      <c r="C8" s="49" t="s">
        <v>550</v>
      </c>
      <c r="E8" s="54">
        <f>E3*E4-PI()/4*E5^2</f>
        <v>174523.23649750522</v>
      </c>
      <c r="F8" s="49" t="s">
        <v>867</v>
      </c>
    </row>
    <row r="9" spans="2:8" ht="12.55" x14ac:dyDescent="0.2">
      <c r="C9" s="49" t="s">
        <v>551</v>
      </c>
      <c r="E9" s="54">
        <f>E3*E4</f>
        <v>250000</v>
      </c>
      <c r="F9" s="49" t="s">
        <v>867</v>
      </c>
    </row>
    <row r="10" spans="2:8" s="55" customFormat="1" hidden="1" x14ac:dyDescent="0.2">
      <c r="B10" s="55" t="s">
        <v>552</v>
      </c>
      <c r="C10" s="55" t="s">
        <v>553</v>
      </c>
      <c r="E10" s="56">
        <f>1.5*E7</f>
        <v>43.086962225401592</v>
      </c>
      <c r="F10" s="55" t="s">
        <v>165</v>
      </c>
      <c r="H10" s="55" t="s">
        <v>555</v>
      </c>
    </row>
    <row r="11" spans="2:8" s="57" customFormat="1" x14ac:dyDescent="0.2">
      <c r="B11" s="57" t="s">
        <v>596</v>
      </c>
      <c r="E11" s="58"/>
    </row>
    <row r="12" spans="2:8" s="57" customFormat="1" x14ac:dyDescent="0.2">
      <c r="B12" s="49" t="s">
        <v>549</v>
      </c>
      <c r="D12" s="57" t="s">
        <v>24</v>
      </c>
      <c r="E12" s="58">
        <f>1.3*E7</f>
        <v>37.342033928681381</v>
      </c>
      <c r="F12" s="57" t="s">
        <v>165</v>
      </c>
    </row>
    <row r="13" spans="2:8" x14ac:dyDescent="0.2">
      <c r="B13" s="49" t="s">
        <v>554</v>
      </c>
      <c r="E13" s="54"/>
    </row>
    <row r="14" spans="2:8" x14ac:dyDescent="0.2">
      <c r="B14" s="59" t="s">
        <v>868</v>
      </c>
      <c r="E14" s="317">
        <f>Pj/E8*10</f>
        <v>22.380973894303384</v>
      </c>
      <c r="F14" s="49" t="s">
        <v>165</v>
      </c>
      <c r="G14" s="49" t="str">
        <f>IF(H14&gt;E14,"&gt; OK","&lt; not ok")</f>
        <v>&gt; OK</v>
      </c>
      <c r="H14" s="49">
        <f>E12</f>
        <v>37.342033928681381</v>
      </c>
    </row>
    <row r="15" spans="2:8" x14ac:dyDescent="0.2">
      <c r="B15" s="49" t="s">
        <v>593</v>
      </c>
      <c r="E15" s="54">
        <f>SQRT(PI()/4*E5^2)</f>
        <v>274.73034689035501</v>
      </c>
      <c r="F15" s="49" t="s">
        <v>42</v>
      </c>
    </row>
    <row r="16" spans="2:8" s="60" customFormat="1" hidden="1" x14ac:dyDescent="0.2">
      <c r="B16" s="60" t="s">
        <v>333</v>
      </c>
      <c r="C16" s="61" t="s">
        <v>332</v>
      </c>
      <c r="D16" s="60" t="s">
        <v>24</v>
      </c>
      <c r="E16" s="61">
        <f>(MAX(E3:E4)-E15)/2</f>
        <v>112.6348265548225</v>
      </c>
      <c r="F16" s="60" t="s">
        <v>42</v>
      </c>
    </row>
    <row r="17" spans="2:14" s="60" customFormat="1" ht="13.15" hidden="1" x14ac:dyDescent="0.25">
      <c r="B17" s="62" t="s">
        <v>331</v>
      </c>
      <c r="D17" s="60" t="s">
        <v>869</v>
      </c>
      <c r="E17" s="61">
        <f>0.5*E14*E16^2</f>
        <v>141969.27817821802</v>
      </c>
      <c r="F17" s="60" t="s">
        <v>330</v>
      </c>
      <c r="G17" s="63">
        <f>+E17/10</f>
        <v>14196.927817821803</v>
      </c>
      <c r="H17" s="63" t="s">
        <v>164</v>
      </c>
    </row>
    <row r="18" spans="2:14" s="60" customFormat="1" ht="13.15" hidden="1" x14ac:dyDescent="0.25">
      <c r="B18" s="60" t="s">
        <v>597</v>
      </c>
      <c r="C18" s="64"/>
      <c r="D18" s="60" t="s">
        <v>329</v>
      </c>
      <c r="E18" s="60" t="s">
        <v>870</v>
      </c>
    </row>
    <row r="19" spans="2:14" s="60" customFormat="1" hidden="1" x14ac:dyDescent="0.2">
      <c r="B19" s="62" t="s">
        <v>597</v>
      </c>
      <c r="C19" s="60" t="s">
        <v>328</v>
      </c>
      <c r="D19" s="60" t="s">
        <v>24</v>
      </c>
      <c r="E19" s="61">
        <f>+(E17*6/(E1*1))^0.5</f>
        <v>75.357621559658583</v>
      </c>
      <c r="F19" s="60" t="s">
        <v>42</v>
      </c>
      <c r="G19" s="63"/>
      <c r="H19" s="63"/>
    </row>
    <row r="20" spans="2:14" s="60" customFormat="1" hidden="1" x14ac:dyDescent="0.2">
      <c r="B20" s="60" t="s">
        <v>599</v>
      </c>
      <c r="D20" s="60" t="s">
        <v>24</v>
      </c>
      <c r="E20" s="65">
        <v>60</v>
      </c>
      <c r="F20" s="60" t="s">
        <v>42</v>
      </c>
    </row>
    <row r="21" spans="2:14" x14ac:dyDescent="0.2">
      <c r="E21" s="53"/>
    </row>
    <row r="22" spans="2:14" x14ac:dyDescent="0.2">
      <c r="B22" s="51" t="s">
        <v>836</v>
      </c>
      <c r="D22" s="49" t="s">
        <v>837</v>
      </c>
      <c r="E22" s="53"/>
    </row>
    <row r="23" spans="2:14" x14ac:dyDescent="0.2">
      <c r="B23" s="49" t="s">
        <v>600</v>
      </c>
      <c r="D23" s="49" t="s">
        <v>24</v>
      </c>
      <c r="E23" s="49">
        <f>'Girder Property'!I96*10</f>
        <v>700</v>
      </c>
      <c r="F23" s="49" t="s">
        <v>42</v>
      </c>
    </row>
    <row r="24" spans="2:14" x14ac:dyDescent="0.2">
      <c r="B24" s="49" t="s">
        <v>601</v>
      </c>
      <c r="D24" s="49" t="s">
        <v>24</v>
      </c>
      <c r="E24" s="49">
        <f>E23/2</f>
        <v>350</v>
      </c>
    </row>
    <row r="25" spans="2:14" x14ac:dyDescent="0.2">
      <c r="B25" s="49" t="s">
        <v>842</v>
      </c>
      <c r="D25" s="49" t="s">
        <v>24</v>
      </c>
      <c r="E25" s="49">
        <f>E4</f>
        <v>500</v>
      </c>
    </row>
    <row r="26" spans="2:14" x14ac:dyDescent="0.2">
      <c r="B26" s="49" t="s">
        <v>602</v>
      </c>
      <c r="D26" s="49" t="s">
        <v>24</v>
      </c>
      <c r="E26" s="49">
        <f>E25/2</f>
        <v>250</v>
      </c>
      <c r="H26" s="319" t="s">
        <v>604</v>
      </c>
      <c r="I26" s="319">
        <v>0.3</v>
      </c>
      <c r="J26" s="319">
        <v>0.4</v>
      </c>
      <c r="K26" s="319">
        <v>0.5</v>
      </c>
      <c r="L26" s="319">
        <v>0.6</v>
      </c>
      <c r="M26" s="319">
        <v>0.7</v>
      </c>
      <c r="N26" s="319">
        <v>1</v>
      </c>
    </row>
    <row r="27" spans="2:14" x14ac:dyDescent="0.2">
      <c r="B27" s="49" t="s">
        <v>603</v>
      </c>
      <c r="D27" s="49" t="s">
        <v>24</v>
      </c>
      <c r="E27" s="49">
        <f>Pj/1000</f>
        <v>390.6</v>
      </c>
      <c r="F27" s="49" t="s">
        <v>431</v>
      </c>
      <c r="H27" s="319" t="s">
        <v>605</v>
      </c>
      <c r="I27" s="319">
        <v>0.23</v>
      </c>
      <c r="J27" s="319">
        <v>0.2</v>
      </c>
      <c r="K27" s="319">
        <v>0.17</v>
      </c>
      <c r="L27" s="319">
        <v>0.14000000000000001</v>
      </c>
      <c r="M27" s="319">
        <v>0.11</v>
      </c>
      <c r="N27" s="319">
        <v>0.11</v>
      </c>
    </row>
    <row r="28" spans="2:14" x14ac:dyDescent="0.2">
      <c r="B28" s="49" t="s">
        <v>604</v>
      </c>
      <c r="D28" s="49" t="s">
        <v>24</v>
      </c>
      <c r="E28" s="54">
        <f>E26/E24</f>
        <v>0.7142857142857143</v>
      </c>
    </row>
    <row r="29" spans="2:14" x14ac:dyDescent="0.2">
      <c r="B29" s="49" t="s">
        <v>605</v>
      </c>
      <c r="D29" s="49" t="s">
        <v>24</v>
      </c>
      <c r="E29" s="49">
        <f>interp(E28,I26:N26,I27:N27)</f>
        <v>0.11</v>
      </c>
    </row>
    <row r="30" spans="2:14" x14ac:dyDescent="0.2">
      <c r="B30" s="49" t="s">
        <v>605</v>
      </c>
      <c r="D30" s="49" t="s">
        <v>24</v>
      </c>
      <c r="E30" s="49">
        <f>E29*Pj/1000</f>
        <v>42.966000000000001</v>
      </c>
      <c r="F30" s="49" t="s">
        <v>431</v>
      </c>
    </row>
    <row r="31" spans="2:14" x14ac:dyDescent="0.2">
      <c r="B31" s="49" t="s">
        <v>606</v>
      </c>
      <c r="D31" s="49" t="s">
        <v>24</v>
      </c>
      <c r="E31" s="318">
        <f>E30*1000/(0.87*fy*10)</f>
        <v>9.8772413793103446</v>
      </c>
      <c r="F31" s="49" t="s">
        <v>598</v>
      </c>
    </row>
    <row r="32" spans="2:14" x14ac:dyDescent="0.2">
      <c r="B32" s="49" t="s">
        <v>457</v>
      </c>
      <c r="E32" s="49">
        <v>16</v>
      </c>
    </row>
    <row r="33" spans="2:7" x14ac:dyDescent="0.2">
      <c r="B33" s="49" t="s">
        <v>607</v>
      </c>
      <c r="E33" s="49">
        <v>4</v>
      </c>
    </row>
    <row r="34" spans="2:7" x14ac:dyDescent="0.2">
      <c r="B34" s="49" t="s">
        <v>608</v>
      </c>
      <c r="E34" s="49">
        <v>3</v>
      </c>
    </row>
    <row r="35" spans="2:7" x14ac:dyDescent="0.2">
      <c r="E35" s="318">
        <f>PI()/4*E32^2/100*E33*E34</f>
        <v>24.127431579569613</v>
      </c>
      <c r="F35" s="49" t="s">
        <v>598</v>
      </c>
      <c r="G35" s="49" t="str">
        <f>IF(E35&gt;E31,"safe","not safe")</f>
        <v>safe</v>
      </c>
    </row>
    <row r="36" spans="2:7" x14ac:dyDescent="0.2">
      <c r="B36" s="49" t="str">
        <f>"Distribute reinforcement from " &amp;(0.2*E24)&amp;"m to "&amp;(E23)&amp;" m from support"</f>
        <v>Distribute reinforcement from 70m to 700 m from support</v>
      </c>
    </row>
    <row r="38" spans="2:7" x14ac:dyDescent="0.2">
      <c r="B38" s="49" t="s">
        <v>956</v>
      </c>
      <c r="E38" s="318"/>
    </row>
    <row r="39" spans="2:7" x14ac:dyDescent="0.2">
      <c r="B39" s="49" t="s">
        <v>957</v>
      </c>
      <c r="E39" s="66">
        <v>8</v>
      </c>
    </row>
    <row r="40" spans="2:7" x14ac:dyDescent="0.2">
      <c r="B40" s="49" t="s">
        <v>958</v>
      </c>
      <c r="D40" s="49" t="s">
        <v>24</v>
      </c>
      <c r="E40" s="66">
        <v>16</v>
      </c>
    </row>
    <row r="41" spans="2:7" x14ac:dyDescent="0.2">
      <c r="B41" s="49" t="s">
        <v>959</v>
      </c>
      <c r="D41" s="49" t="s">
        <v>24</v>
      </c>
      <c r="E41" s="66">
        <v>55</v>
      </c>
      <c r="F41" s="49" t="s">
        <v>42</v>
      </c>
    </row>
    <row r="42" spans="2:7" x14ac:dyDescent="0.2">
      <c r="B42" s="49" t="s">
        <v>960</v>
      </c>
      <c r="D42" s="49" t="s">
        <v>24</v>
      </c>
      <c r="E42" s="66">
        <v>46</v>
      </c>
      <c r="F42" s="49" t="s">
        <v>42</v>
      </c>
    </row>
    <row r="43" spans="2:7" x14ac:dyDescent="0.2">
      <c r="B43" s="49" t="s">
        <v>961</v>
      </c>
      <c r="D43" s="49" t="s">
        <v>24</v>
      </c>
      <c r="E43" s="49">
        <v>400</v>
      </c>
      <c r="F43" s="49" t="s">
        <v>42</v>
      </c>
    </row>
    <row r="45" spans="2:7" x14ac:dyDescent="0.2">
      <c r="B45" s="49" t="s">
        <v>962</v>
      </c>
      <c r="E45" s="317"/>
    </row>
    <row r="46" spans="2:7" x14ac:dyDescent="0.2">
      <c r="B46" s="49" t="s">
        <v>849</v>
      </c>
      <c r="D46" s="49" t="s">
        <v>24</v>
      </c>
      <c r="E46" s="49">
        <v>16</v>
      </c>
      <c r="F46" s="49" t="s">
        <v>42</v>
      </c>
    </row>
    <row r="47" spans="2:7" x14ac:dyDescent="0.2">
      <c r="B47" s="49" t="s">
        <v>851</v>
      </c>
      <c r="E47" s="49">
        <v>50</v>
      </c>
      <c r="F47" s="49" t="s">
        <v>42</v>
      </c>
    </row>
    <row r="48" spans="2:7" x14ac:dyDescent="0.2">
      <c r="B48" s="49" t="s">
        <v>850</v>
      </c>
      <c r="D48" s="49" t="s">
        <v>24</v>
      </c>
      <c r="E48" s="49">
        <v>8</v>
      </c>
      <c r="F48" s="49" t="s">
        <v>607</v>
      </c>
    </row>
    <row r="261" spans="17:17" x14ac:dyDescent="0.2">
      <c r="Q261" s="46"/>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FFFF00"/>
  </sheetPr>
  <dimension ref="A1:AJ49"/>
  <sheetViews>
    <sheetView topLeftCell="B35" zoomScale="120" zoomScaleNormal="120" workbookViewId="0">
      <selection activeCell="R27" sqref="R27"/>
    </sheetView>
  </sheetViews>
  <sheetFormatPr defaultColWidth="7.6640625" defaultRowHeight="10.65" x14ac:dyDescent="0.2"/>
  <cols>
    <col min="1" max="10" width="7.6640625" style="79"/>
    <col min="11" max="14" width="7.6640625" style="330"/>
    <col min="15" max="16384" width="7.6640625" style="79"/>
  </cols>
  <sheetData>
    <row r="1" spans="1:33" x14ac:dyDescent="0.2">
      <c r="B1" s="79" t="s">
        <v>526</v>
      </c>
      <c r="O1" s="330"/>
      <c r="P1" s="330"/>
      <c r="Q1" s="330"/>
      <c r="R1" s="330"/>
    </row>
    <row r="2" spans="1:33" x14ac:dyDescent="0.2">
      <c r="A2" s="331"/>
      <c r="B2" s="426" t="s">
        <v>78</v>
      </c>
      <c r="C2" s="427"/>
      <c r="D2" s="452" t="s">
        <v>79</v>
      </c>
      <c r="E2" s="427"/>
      <c r="F2" s="452" t="s">
        <v>80</v>
      </c>
      <c r="G2" s="427"/>
      <c r="H2" s="452" t="s">
        <v>81</v>
      </c>
      <c r="I2" s="427"/>
      <c r="J2" s="452" t="s">
        <v>1052</v>
      </c>
      <c r="K2" s="427"/>
      <c r="L2" s="452" t="s">
        <v>1053</v>
      </c>
      <c r="M2" s="427"/>
      <c r="O2" s="332"/>
      <c r="P2" s="332"/>
      <c r="Q2" s="332"/>
      <c r="R2" s="332"/>
      <c r="S2" s="333"/>
      <c r="T2" s="333"/>
    </row>
    <row r="3" spans="1:33" x14ac:dyDescent="0.2">
      <c r="A3" s="334" t="s">
        <v>72</v>
      </c>
      <c r="B3" s="334" t="s">
        <v>73</v>
      </c>
      <c r="C3" s="334" t="s">
        <v>74</v>
      </c>
      <c r="D3" s="334" t="s">
        <v>73</v>
      </c>
      <c r="E3" s="334" t="s">
        <v>74</v>
      </c>
      <c r="F3" s="334" t="s">
        <v>73</v>
      </c>
      <c r="G3" s="334" t="s">
        <v>74</v>
      </c>
      <c r="H3" s="335" t="s">
        <v>73</v>
      </c>
      <c r="I3" s="336" t="s">
        <v>74</v>
      </c>
      <c r="J3" s="335" t="s">
        <v>73</v>
      </c>
      <c r="K3" s="336" t="s">
        <v>74</v>
      </c>
      <c r="L3" s="335" t="s">
        <v>73</v>
      </c>
      <c r="M3" s="336" t="s">
        <v>74</v>
      </c>
      <c r="O3" s="332" t="s">
        <v>531</v>
      </c>
      <c r="P3" s="332">
        <f>gpsc*Ag/10000</f>
        <v>19.467058284987917</v>
      </c>
      <c r="Q3" s="332"/>
      <c r="R3" s="332"/>
      <c r="S3" s="333"/>
      <c r="T3" s="333"/>
    </row>
    <row r="4" spans="1:33" x14ac:dyDescent="0.2">
      <c r="A4" s="337" t="s">
        <v>19</v>
      </c>
      <c r="B4" s="337" t="s">
        <v>25</v>
      </c>
      <c r="C4" s="337" t="s">
        <v>23</v>
      </c>
      <c r="D4" s="337" t="s">
        <v>25</v>
      </c>
      <c r="E4" s="337" t="s">
        <v>23</v>
      </c>
      <c r="F4" s="337" t="s">
        <v>25</v>
      </c>
      <c r="G4" s="337" t="s">
        <v>23</v>
      </c>
      <c r="H4" s="338" t="s">
        <v>25</v>
      </c>
      <c r="I4" s="339" t="s">
        <v>23</v>
      </c>
      <c r="J4" s="338" t="s">
        <v>25</v>
      </c>
      <c r="K4" s="339" t="s">
        <v>23</v>
      </c>
      <c r="L4" s="338" t="s">
        <v>25</v>
      </c>
      <c r="M4" s="339" t="s">
        <v>23</v>
      </c>
      <c r="O4" s="332" t="s">
        <v>532</v>
      </c>
      <c r="P4" s="332">
        <f>P3*spane/2</f>
        <v>292.00587427481878</v>
      </c>
      <c r="Q4" s="332" t="s">
        <v>537</v>
      </c>
      <c r="R4" s="340"/>
      <c r="S4" s="333" t="s">
        <v>538</v>
      </c>
      <c r="T4" s="333"/>
    </row>
    <row r="5" spans="1:33" x14ac:dyDescent="0.2">
      <c r="A5" s="341">
        <v>0</v>
      </c>
      <c r="B5" s="331">
        <f t="shared" ref="B5:B8" si="0">O5+Q5+S5</f>
        <v>356.80587427481879</v>
      </c>
      <c r="C5" s="331">
        <f t="shared" ref="C5:C8" si="1">P5+R5+T5</f>
        <v>0</v>
      </c>
      <c r="D5" s="342">
        <f>B5</f>
        <v>356.80587427481879</v>
      </c>
      <c r="E5" s="342">
        <f t="shared" ref="E5:I5" si="2">C5</f>
        <v>0</v>
      </c>
      <c r="F5" s="342">
        <f t="shared" si="2"/>
        <v>356.80587427481879</v>
      </c>
      <c r="G5" s="342">
        <f t="shared" si="2"/>
        <v>0</v>
      </c>
      <c r="H5" s="343">
        <f t="shared" si="2"/>
        <v>356.80587427481879</v>
      </c>
      <c r="I5" s="344">
        <f t="shared" si="2"/>
        <v>0</v>
      </c>
      <c r="J5" s="343">
        <f t="shared" ref="J5:J8" si="3">H5</f>
        <v>356.80587427481879</v>
      </c>
      <c r="K5" s="344">
        <f t="shared" ref="K5:K8" si="4">I5</f>
        <v>0</v>
      </c>
      <c r="L5" s="343">
        <f t="shared" ref="L5:L8" si="5">J5</f>
        <v>356.80587427481879</v>
      </c>
      <c r="M5" s="344">
        <f t="shared" ref="M5:M8" si="6">K5</f>
        <v>0</v>
      </c>
      <c r="O5" s="332">
        <f>$P$4-$P$3*A5</f>
        <v>292.00587427481878</v>
      </c>
      <c r="P5" s="332">
        <f>$P$4*A5-$P$3*A5^2/2</f>
        <v>0</v>
      </c>
      <c r="Q5" s="332">
        <f>'Girder Property'!$I$222*3/2-'Girder Property'!$I$222</f>
        <v>1.7999999999999998</v>
      </c>
      <c r="R5" s="345">
        <f t="shared" ref="R5:R8" si="7">Q5*A5</f>
        <v>0</v>
      </c>
      <c r="S5" s="346">
        <v>63</v>
      </c>
      <c r="T5" s="347">
        <v>0</v>
      </c>
    </row>
    <row r="6" spans="1:33" x14ac:dyDescent="0.2">
      <c r="A6" s="341">
        <v>5</v>
      </c>
      <c r="B6" s="331">
        <f t="shared" si="0"/>
        <v>238.47058284987921</v>
      </c>
      <c r="C6" s="331">
        <f t="shared" si="1"/>
        <v>1278.1911428117448</v>
      </c>
      <c r="D6" s="342">
        <f t="shared" ref="D6:D8" si="8">B6</f>
        <v>238.47058284987921</v>
      </c>
      <c r="E6" s="342">
        <f t="shared" ref="E6:E8" si="9">C6</f>
        <v>1278.1911428117448</v>
      </c>
      <c r="F6" s="342">
        <f t="shared" ref="F6:F8" si="10">D6</f>
        <v>238.47058284987921</v>
      </c>
      <c r="G6" s="342">
        <f t="shared" ref="G6:G8" si="11">E6</f>
        <v>1278.1911428117448</v>
      </c>
      <c r="H6" s="343">
        <f t="shared" ref="H6:H8" si="12">F6</f>
        <v>238.47058284987921</v>
      </c>
      <c r="I6" s="344">
        <f t="shared" ref="I6:I8" si="13">G6</f>
        <v>1278.1911428117448</v>
      </c>
      <c r="J6" s="343">
        <f t="shared" si="3"/>
        <v>238.47058284987921</v>
      </c>
      <c r="K6" s="344">
        <f t="shared" si="4"/>
        <v>1278.1911428117448</v>
      </c>
      <c r="L6" s="343">
        <f t="shared" si="5"/>
        <v>238.47058284987921</v>
      </c>
      <c r="M6" s="344">
        <f t="shared" si="6"/>
        <v>1278.1911428117448</v>
      </c>
      <c r="O6" s="332">
        <f>$P$4-$P$3*A6</f>
        <v>194.6705828498792</v>
      </c>
      <c r="P6" s="332">
        <f>$P$4*A6-$P$3*A6^2/2</f>
        <v>1216.6911428117448</v>
      </c>
      <c r="Q6" s="332">
        <f>Q5</f>
        <v>1.7999999999999998</v>
      </c>
      <c r="R6" s="345">
        <f t="shared" si="7"/>
        <v>9</v>
      </c>
      <c r="S6" s="346">
        <v>42</v>
      </c>
      <c r="T6" s="347">
        <v>52.5</v>
      </c>
    </row>
    <row r="7" spans="1:33" x14ac:dyDescent="0.2">
      <c r="A7" s="341">
        <v>10</v>
      </c>
      <c r="B7" s="331">
        <f t="shared" si="0"/>
        <v>120.13529142493961</v>
      </c>
      <c r="C7" s="331">
        <f t="shared" si="1"/>
        <v>2048.705828498792</v>
      </c>
      <c r="D7" s="342">
        <f t="shared" si="8"/>
        <v>120.13529142493961</v>
      </c>
      <c r="E7" s="342">
        <f t="shared" si="9"/>
        <v>2048.705828498792</v>
      </c>
      <c r="F7" s="342">
        <f t="shared" si="10"/>
        <v>120.13529142493961</v>
      </c>
      <c r="G7" s="342">
        <f t="shared" si="11"/>
        <v>2048.705828498792</v>
      </c>
      <c r="H7" s="343">
        <f t="shared" si="12"/>
        <v>120.13529142493961</v>
      </c>
      <c r="I7" s="344">
        <f t="shared" si="13"/>
        <v>2048.705828498792</v>
      </c>
      <c r="J7" s="343">
        <f t="shared" si="3"/>
        <v>120.13529142493961</v>
      </c>
      <c r="K7" s="344">
        <f t="shared" si="4"/>
        <v>2048.705828498792</v>
      </c>
      <c r="L7" s="343">
        <f t="shared" si="5"/>
        <v>120.13529142493961</v>
      </c>
      <c r="M7" s="344">
        <f t="shared" si="6"/>
        <v>2048.705828498792</v>
      </c>
      <c r="O7" s="332">
        <f>$P$4-$P$3*A7</f>
        <v>97.335291424939612</v>
      </c>
      <c r="P7" s="332">
        <f>$P$4*A7-$P$3*A7^2/2</f>
        <v>1946.705828498792</v>
      </c>
      <c r="Q7" s="332">
        <f t="shared" ref="Q7:Q8" si="14">Q6</f>
        <v>1.7999999999999998</v>
      </c>
      <c r="R7" s="345">
        <f t="shared" si="7"/>
        <v>18</v>
      </c>
      <c r="S7" s="346">
        <v>21</v>
      </c>
      <c r="T7" s="347">
        <v>84</v>
      </c>
    </row>
    <row r="8" spans="1:33" x14ac:dyDescent="0.2">
      <c r="A8" s="341">
        <v>15</v>
      </c>
      <c r="B8" s="331">
        <f t="shared" si="0"/>
        <v>7.05</v>
      </c>
      <c r="C8" s="331">
        <f t="shared" si="1"/>
        <v>2313.2940570611408</v>
      </c>
      <c r="D8" s="342">
        <f t="shared" si="8"/>
        <v>7.05</v>
      </c>
      <c r="E8" s="342">
        <f t="shared" si="9"/>
        <v>2313.2940570611408</v>
      </c>
      <c r="F8" s="342">
        <f t="shared" si="10"/>
        <v>7.05</v>
      </c>
      <c r="G8" s="342">
        <f t="shared" si="11"/>
        <v>2313.2940570611408</v>
      </c>
      <c r="H8" s="343">
        <f t="shared" si="12"/>
        <v>7.05</v>
      </c>
      <c r="I8" s="344">
        <f t="shared" si="13"/>
        <v>2313.2940570611408</v>
      </c>
      <c r="J8" s="343">
        <f t="shared" si="3"/>
        <v>7.05</v>
      </c>
      <c r="K8" s="344">
        <f t="shared" si="4"/>
        <v>2313.2940570611408</v>
      </c>
      <c r="L8" s="343">
        <f t="shared" si="5"/>
        <v>7.05</v>
      </c>
      <c r="M8" s="344">
        <f t="shared" si="6"/>
        <v>2313.2940570611408</v>
      </c>
      <c r="O8" s="332">
        <f>$P$4-$P$3*A8</f>
        <v>0</v>
      </c>
      <c r="P8" s="332">
        <f>$P$4*A8-$P$3*A8^2/2</f>
        <v>2190.0440570611408</v>
      </c>
      <c r="Q8" s="332">
        <f t="shared" si="14"/>
        <v>1.7999999999999998</v>
      </c>
      <c r="R8" s="345">
        <f t="shared" si="7"/>
        <v>26.999999999999996</v>
      </c>
      <c r="S8" s="346">
        <v>5.25</v>
      </c>
      <c r="T8" s="347">
        <v>96.25</v>
      </c>
    </row>
    <row r="9" spans="1:33" x14ac:dyDescent="0.2">
      <c r="A9" s="348" t="s">
        <v>75</v>
      </c>
      <c r="B9" s="348">
        <f t="shared" ref="B9:M9" si="15">MAX(B5:B8)</f>
        <v>356.80587427481879</v>
      </c>
      <c r="C9" s="348">
        <f t="shared" si="15"/>
        <v>2313.2940570611408</v>
      </c>
      <c r="D9" s="348">
        <f t="shared" si="15"/>
        <v>356.80587427481879</v>
      </c>
      <c r="E9" s="348">
        <f t="shared" si="15"/>
        <v>2313.2940570611408</v>
      </c>
      <c r="F9" s="348">
        <f t="shared" si="15"/>
        <v>356.80587427481879</v>
      </c>
      <c r="G9" s="348">
        <f t="shared" si="15"/>
        <v>2313.2940570611408</v>
      </c>
      <c r="H9" s="349">
        <f t="shared" si="15"/>
        <v>356.80587427481879</v>
      </c>
      <c r="I9" s="350">
        <f t="shared" si="15"/>
        <v>2313.2940570611408</v>
      </c>
      <c r="J9" s="349">
        <f t="shared" si="15"/>
        <v>356.80587427481879</v>
      </c>
      <c r="K9" s="350">
        <f t="shared" si="15"/>
        <v>2313.2940570611408</v>
      </c>
      <c r="L9" s="349">
        <f t="shared" si="15"/>
        <v>356.80587427481879</v>
      </c>
      <c r="M9" s="350">
        <f t="shared" si="15"/>
        <v>2313.2940570611408</v>
      </c>
      <c r="O9" s="340"/>
      <c r="P9" s="340"/>
      <c r="Q9" s="340"/>
      <c r="R9" s="340"/>
    </row>
    <row r="10" spans="1:33" x14ac:dyDescent="0.2">
      <c r="O10" s="340"/>
      <c r="P10" s="340"/>
      <c r="Q10" s="340"/>
      <c r="R10" s="340"/>
    </row>
    <row r="11" spans="1:33" x14ac:dyDescent="0.2">
      <c r="B11" s="351" t="s">
        <v>693</v>
      </c>
      <c r="O11" s="340"/>
      <c r="P11" s="340"/>
      <c r="Q11" s="340"/>
      <c r="R11" s="340"/>
    </row>
    <row r="12" spans="1:33" x14ac:dyDescent="0.2">
      <c r="A12" s="331"/>
      <c r="B12" s="426" t="s">
        <v>78</v>
      </c>
      <c r="C12" s="427"/>
      <c r="D12" s="452" t="s">
        <v>79</v>
      </c>
      <c r="E12" s="427"/>
      <c r="F12" s="452" t="s">
        <v>80</v>
      </c>
      <c r="G12" s="427"/>
      <c r="H12" s="452" t="s">
        <v>81</v>
      </c>
      <c r="I12" s="427"/>
      <c r="J12" s="452" t="s">
        <v>1052</v>
      </c>
      <c r="K12" s="427"/>
      <c r="L12" s="452" t="s">
        <v>1053</v>
      </c>
      <c r="M12" s="427"/>
      <c r="O12" s="340"/>
      <c r="P12" s="340"/>
      <c r="Q12" s="340"/>
      <c r="R12" s="340"/>
      <c r="U12" s="352"/>
      <c r="V12" s="352"/>
      <c r="W12" s="352"/>
      <c r="X12" s="352"/>
      <c r="Y12" s="352"/>
      <c r="Z12" s="352"/>
      <c r="AA12" s="352"/>
      <c r="AB12" s="352"/>
      <c r="AC12" s="352"/>
    </row>
    <row r="13" spans="1:33" x14ac:dyDescent="0.2">
      <c r="A13" s="334" t="s">
        <v>72</v>
      </c>
      <c r="B13" s="334" t="s">
        <v>73</v>
      </c>
      <c r="C13" s="334" t="s">
        <v>74</v>
      </c>
      <c r="D13" s="334" t="s">
        <v>73</v>
      </c>
      <c r="E13" s="334" t="s">
        <v>74</v>
      </c>
      <c r="F13" s="334" t="s">
        <v>73</v>
      </c>
      <c r="G13" s="334" t="s">
        <v>74</v>
      </c>
      <c r="H13" s="335" t="s">
        <v>73</v>
      </c>
      <c r="I13" s="336" t="s">
        <v>74</v>
      </c>
      <c r="J13" s="334" t="s">
        <v>73</v>
      </c>
      <c r="K13" s="334" t="s">
        <v>74</v>
      </c>
      <c r="L13" s="335" t="s">
        <v>73</v>
      </c>
      <c r="M13" s="336" t="s">
        <v>74</v>
      </c>
      <c r="O13" s="340"/>
      <c r="P13" s="340"/>
      <c r="Q13" s="340"/>
      <c r="R13" s="340"/>
      <c r="S13" s="333" t="s">
        <v>531</v>
      </c>
      <c r="T13" s="353">
        <f>24*0.83</f>
        <v>19.919999999999998</v>
      </c>
      <c r="U13" s="354" t="s">
        <v>72</v>
      </c>
      <c r="V13" s="354" t="s">
        <v>73</v>
      </c>
      <c r="W13" s="354" t="s">
        <v>74</v>
      </c>
      <c r="X13" s="354" t="s">
        <v>73</v>
      </c>
      <c r="Y13" s="354" t="s">
        <v>74</v>
      </c>
      <c r="Z13" s="354" t="s">
        <v>73</v>
      </c>
      <c r="AA13" s="354" t="s">
        <v>74</v>
      </c>
      <c r="AB13" s="354" t="s">
        <v>73</v>
      </c>
      <c r="AC13" s="354" t="s">
        <v>74</v>
      </c>
      <c r="AD13" s="354" t="s">
        <v>73</v>
      </c>
      <c r="AE13" s="354" t="s">
        <v>74</v>
      </c>
      <c r="AF13" s="354" t="s">
        <v>73</v>
      </c>
      <c r="AG13" s="354" t="s">
        <v>74</v>
      </c>
    </row>
    <row r="14" spans="1:33" x14ac:dyDescent="0.2">
      <c r="A14" s="337" t="s">
        <v>19</v>
      </c>
      <c r="B14" s="337" t="s">
        <v>25</v>
      </c>
      <c r="C14" s="337" t="s">
        <v>23</v>
      </c>
      <c r="D14" s="337" t="s">
        <v>25</v>
      </c>
      <c r="E14" s="337" t="s">
        <v>23</v>
      </c>
      <c r="F14" s="337" t="s">
        <v>25</v>
      </c>
      <c r="G14" s="337" t="s">
        <v>23</v>
      </c>
      <c r="H14" s="338" t="s">
        <v>25</v>
      </c>
      <c r="I14" s="339" t="s">
        <v>23</v>
      </c>
      <c r="J14" s="337" t="s">
        <v>25</v>
      </c>
      <c r="K14" s="337" t="s">
        <v>23</v>
      </c>
      <c r="L14" s="338" t="s">
        <v>25</v>
      </c>
      <c r="M14" s="339" t="s">
        <v>23</v>
      </c>
      <c r="O14" s="355" t="s">
        <v>527</v>
      </c>
      <c r="P14" s="356"/>
      <c r="Q14" s="357" t="s">
        <v>528</v>
      </c>
      <c r="R14" s="358"/>
      <c r="S14" s="333" t="s">
        <v>532</v>
      </c>
      <c r="T14" s="333">
        <f>T13*spane/2</f>
        <v>298.79999999999995</v>
      </c>
      <c r="U14" s="359" t="s">
        <v>19</v>
      </c>
      <c r="V14" s="359" t="s">
        <v>25</v>
      </c>
      <c r="W14" s="359" t="s">
        <v>691</v>
      </c>
      <c r="X14" s="359" t="s">
        <v>25</v>
      </c>
      <c r="Y14" s="359" t="s">
        <v>691</v>
      </c>
      <c r="Z14" s="359" t="s">
        <v>25</v>
      </c>
      <c r="AA14" s="359" t="s">
        <v>691</v>
      </c>
      <c r="AB14" s="359" t="s">
        <v>25</v>
      </c>
      <c r="AC14" s="359" t="s">
        <v>691</v>
      </c>
      <c r="AD14" s="359" t="s">
        <v>25</v>
      </c>
      <c r="AE14" s="359" t="s">
        <v>691</v>
      </c>
      <c r="AF14" s="359" t="s">
        <v>25</v>
      </c>
      <c r="AG14" s="359" t="s">
        <v>691</v>
      </c>
    </row>
    <row r="15" spans="1:33" x14ac:dyDescent="0.2">
      <c r="A15" s="341">
        <v>0</v>
      </c>
      <c r="B15" s="331">
        <f>O15+V15-S15</f>
        <v>177.54400000000004</v>
      </c>
      <c r="C15" s="331">
        <f>P15+W15-T15</f>
        <v>25.790700000000001</v>
      </c>
      <c r="D15" s="342">
        <f>Q15+X15-S15</f>
        <v>218.17400000000009</v>
      </c>
      <c r="E15" s="342">
        <f>R15+Y15-T15</f>
        <v>14.593500000000001</v>
      </c>
      <c r="F15" s="342">
        <f>Q15+Z15-S15</f>
        <v>225.70900000000006</v>
      </c>
      <c r="G15" s="342">
        <f>R15+AA15-T15</f>
        <v>11.1972</v>
      </c>
      <c r="H15" s="342">
        <f>Q15+AB15-S15</f>
        <v>225.70900000000006</v>
      </c>
      <c r="I15" s="342">
        <f>R15+AC15-T15</f>
        <v>11.1972</v>
      </c>
      <c r="J15" s="342">
        <f>Q15+AD15-S15</f>
        <v>218.17400000000009</v>
      </c>
      <c r="K15" s="342">
        <f>R15+AE15-T15</f>
        <v>14.593500000000001</v>
      </c>
      <c r="L15" s="342">
        <f>O15+AF15-S15</f>
        <v>177.54400000000004</v>
      </c>
      <c r="M15" s="360">
        <f>P15+AG15-T15</f>
        <v>25.790700000000001</v>
      </c>
      <c r="O15" s="361">
        <f>'Girder Property'!I260*3/2-'Girder Property'!I260</f>
        <v>4.7430000000000003</v>
      </c>
      <c r="P15" s="362">
        <f>O15*A15</f>
        <v>0</v>
      </c>
      <c r="Q15" s="363">
        <f>2*O15</f>
        <v>9.4860000000000007</v>
      </c>
      <c r="R15" s="358">
        <f>2*P15</f>
        <v>0</v>
      </c>
      <c r="S15" s="364">
        <f>$T$14-$T$13*A15</f>
        <v>298.79999999999995</v>
      </c>
      <c r="T15" s="364">
        <f>$T$14*A15-$T$13*A15^2/2</f>
        <v>0</v>
      </c>
      <c r="U15" s="359">
        <v>0</v>
      </c>
      <c r="V15" s="359">
        <v>471.601</v>
      </c>
      <c r="W15" s="359">
        <v>25.790700000000001</v>
      </c>
      <c r="X15" s="359">
        <v>507.488</v>
      </c>
      <c r="Y15" s="359">
        <v>14.593500000000001</v>
      </c>
      <c r="Z15" s="359">
        <v>515.02300000000002</v>
      </c>
      <c r="AA15" s="359">
        <v>11.1972</v>
      </c>
      <c r="AB15" s="359">
        <v>515.02300000000002</v>
      </c>
      <c r="AC15" s="359">
        <v>11.1972</v>
      </c>
      <c r="AD15" s="359">
        <v>507.488</v>
      </c>
      <c r="AE15" s="359">
        <v>14.593500000000001</v>
      </c>
      <c r="AF15" s="359">
        <v>471.601</v>
      </c>
      <c r="AG15" s="359">
        <v>25.790700000000001</v>
      </c>
    </row>
    <row r="16" spans="1:33" x14ac:dyDescent="0.2">
      <c r="A16" s="341">
        <v>5</v>
      </c>
      <c r="B16" s="331">
        <f t="shared" ref="B16:B18" si="16">O16+V16-S16</f>
        <v>124.32300000000001</v>
      </c>
      <c r="C16" s="331">
        <f t="shared" ref="C16:C18" si="17">P16+W16-T16</f>
        <v>698.59390000000008</v>
      </c>
      <c r="D16" s="342">
        <f t="shared" ref="D16:D18" si="18">Q16+X16-S16</f>
        <v>144.65700000000001</v>
      </c>
      <c r="E16" s="342">
        <f t="shared" ref="E16:E18" si="19">R16+Y16-T16</f>
        <v>944.80780000000027</v>
      </c>
      <c r="F16" s="342">
        <f t="shared" ref="F16:F18" si="20">Q16+Z16-S16</f>
        <v>153.36200000000005</v>
      </c>
      <c r="G16" s="342">
        <f t="shared" ref="G16:G18" si="21">R16+AA16-T16</f>
        <v>971.7342000000001</v>
      </c>
      <c r="H16" s="342">
        <f t="shared" ref="H16:H18" si="22">Q16+AB16-S16</f>
        <v>153.36200000000005</v>
      </c>
      <c r="I16" s="342">
        <f t="shared" ref="I16:I18" si="23">R16+AC16-T16</f>
        <v>971.7342000000001</v>
      </c>
      <c r="J16" s="342">
        <f t="shared" ref="J16:J18" si="24">Q16+AD16-S16</f>
        <v>144.65700000000001</v>
      </c>
      <c r="K16" s="342">
        <f t="shared" ref="K16:K18" si="25">R16+AE16-T16</f>
        <v>944.80780000000027</v>
      </c>
      <c r="L16" s="342">
        <f t="shared" ref="L16:L18" si="26">O16+AF16-S16</f>
        <v>124.32300000000001</v>
      </c>
      <c r="M16" s="360">
        <f t="shared" ref="M16:M18" si="27">P16+AG16-T16</f>
        <v>698.59390000000008</v>
      </c>
      <c r="O16" s="361">
        <f>O15</f>
        <v>4.7430000000000003</v>
      </c>
      <c r="P16" s="362">
        <f>O16*A16</f>
        <v>23.715000000000003</v>
      </c>
      <c r="Q16" s="363">
        <f t="shared" ref="Q16:R18" si="28">2*O16</f>
        <v>9.4860000000000007</v>
      </c>
      <c r="R16" s="358">
        <f t="shared" si="28"/>
        <v>47.430000000000007</v>
      </c>
      <c r="S16" s="364">
        <f>$T$14-$T$13*A16</f>
        <v>199.19999999999996</v>
      </c>
      <c r="T16" s="364">
        <f>$T$14*A16-$T$13*A16^2/2</f>
        <v>1244.9999999999998</v>
      </c>
      <c r="U16" s="359">
        <v>5</v>
      </c>
      <c r="V16" s="359">
        <v>318.77999999999997</v>
      </c>
      <c r="W16" s="359">
        <v>1919.8788999999999</v>
      </c>
      <c r="X16" s="359">
        <v>334.37099999999998</v>
      </c>
      <c r="Y16" s="359">
        <v>2142.3778000000002</v>
      </c>
      <c r="Z16" s="359">
        <v>343.07600000000002</v>
      </c>
      <c r="AA16" s="359">
        <v>2169.3042</v>
      </c>
      <c r="AB16" s="359">
        <v>343.07600000000002</v>
      </c>
      <c r="AC16" s="359">
        <v>2169.3042</v>
      </c>
      <c r="AD16" s="359">
        <v>334.37099999999998</v>
      </c>
      <c r="AE16" s="359">
        <v>2142.3778000000002</v>
      </c>
      <c r="AF16" s="359">
        <v>318.77999999999997</v>
      </c>
      <c r="AG16" s="359">
        <v>1919.8788999999999</v>
      </c>
    </row>
    <row r="17" spans="1:36" x14ac:dyDescent="0.2">
      <c r="A17" s="341">
        <v>10</v>
      </c>
      <c r="B17" s="331">
        <f t="shared" si="16"/>
        <v>66.101000000000028</v>
      </c>
      <c r="C17" s="331">
        <f t="shared" si="17"/>
        <v>1126.2610000000004</v>
      </c>
      <c r="D17" s="342">
        <f t="shared" si="18"/>
        <v>76.580000000000013</v>
      </c>
      <c r="E17" s="342">
        <f t="shared" si="19"/>
        <v>1525.5018000000005</v>
      </c>
      <c r="F17" s="342">
        <f t="shared" si="20"/>
        <v>81.358000000000033</v>
      </c>
      <c r="G17" s="342">
        <f t="shared" si="21"/>
        <v>1573.9404000000004</v>
      </c>
      <c r="H17" s="342">
        <f t="shared" si="22"/>
        <v>81.358000000000033</v>
      </c>
      <c r="I17" s="342">
        <f t="shared" si="23"/>
        <v>1573.9404000000004</v>
      </c>
      <c r="J17" s="342">
        <f t="shared" si="24"/>
        <v>76.580000000000013</v>
      </c>
      <c r="K17" s="342">
        <f t="shared" si="25"/>
        <v>1525.5018000000005</v>
      </c>
      <c r="L17" s="342">
        <f t="shared" si="26"/>
        <v>66.101000000000028</v>
      </c>
      <c r="M17" s="360">
        <f t="shared" si="27"/>
        <v>1126.2610000000004</v>
      </c>
      <c r="O17" s="361">
        <f t="shared" ref="O17:O18" si="29">O16</f>
        <v>4.7430000000000003</v>
      </c>
      <c r="P17" s="362">
        <f>O17*A17</f>
        <v>47.430000000000007</v>
      </c>
      <c r="Q17" s="363">
        <f t="shared" si="28"/>
        <v>9.4860000000000007</v>
      </c>
      <c r="R17" s="358">
        <f t="shared" si="28"/>
        <v>94.860000000000014</v>
      </c>
      <c r="S17" s="364">
        <f>$T$14-$T$13*A17</f>
        <v>99.599999999999966</v>
      </c>
      <c r="T17" s="364">
        <f>$T$14*A17-$T$13*A17^2/2</f>
        <v>1991.9999999999995</v>
      </c>
      <c r="U17" s="359">
        <v>10</v>
      </c>
      <c r="V17" s="359">
        <v>160.958</v>
      </c>
      <c r="W17" s="359">
        <v>3070.8310000000001</v>
      </c>
      <c r="X17" s="359">
        <v>166.69399999999999</v>
      </c>
      <c r="Y17" s="359">
        <v>3422.6417999999999</v>
      </c>
      <c r="Z17" s="359">
        <v>171.47200000000001</v>
      </c>
      <c r="AA17" s="359">
        <v>3471.0803999999998</v>
      </c>
      <c r="AB17" s="359">
        <v>171.47200000000001</v>
      </c>
      <c r="AC17" s="359">
        <v>3471.0803999999998</v>
      </c>
      <c r="AD17" s="359">
        <v>166.69399999999999</v>
      </c>
      <c r="AE17" s="359">
        <v>3422.6417999999999</v>
      </c>
      <c r="AF17" s="359">
        <v>160.958</v>
      </c>
      <c r="AG17" s="359">
        <v>3070.8310000000001</v>
      </c>
    </row>
    <row r="18" spans="1:36" x14ac:dyDescent="0.2">
      <c r="A18" s="341">
        <v>15</v>
      </c>
      <c r="B18" s="331">
        <f t="shared" si="16"/>
        <v>5.8689999999999998</v>
      </c>
      <c r="C18" s="331">
        <f t="shared" si="17"/>
        <v>1283.9351000000011</v>
      </c>
      <c r="D18" s="342">
        <f t="shared" si="18"/>
        <v>10.424000000000001</v>
      </c>
      <c r="E18" s="342">
        <f t="shared" si="19"/>
        <v>1749.6847000000007</v>
      </c>
      <c r="F18" s="342">
        <f t="shared" si="20"/>
        <v>9.6740000000000013</v>
      </c>
      <c r="G18" s="342">
        <f t="shared" si="21"/>
        <v>1805.2791000000007</v>
      </c>
      <c r="H18" s="342">
        <f t="shared" si="22"/>
        <v>9.6740000000000013</v>
      </c>
      <c r="I18" s="342">
        <f t="shared" si="23"/>
        <v>1805.2791000000007</v>
      </c>
      <c r="J18" s="342">
        <f t="shared" si="24"/>
        <v>10.424000000000001</v>
      </c>
      <c r="K18" s="342">
        <f t="shared" si="25"/>
        <v>1749.6847000000007</v>
      </c>
      <c r="L18" s="342">
        <f t="shared" si="26"/>
        <v>5.8689999999999998</v>
      </c>
      <c r="M18" s="360">
        <f t="shared" si="27"/>
        <v>1283.9351000000011</v>
      </c>
      <c r="O18" s="365">
        <f t="shared" si="29"/>
        <v>4.7430000000000003</v>
      </c>
      <c r="P18" s="366">
        <f>O18*A18</f>
        <v>71.14500000000001</v>
      </c>
      <c r="Q18" s="367">
        <f t="shared" si="28"/>
        <v>9.4860000000000007</v>
      </c>
      <c r="R18" s="358">
        <f t="shared" si="28"/>
        <v>142.29000000000002</v>
      </c>
      <c r="S18" s="364">
        <f>$T$14-$T$13*A18</f>
        <v>0</v>
      </c>
      <c r="T18" s="364">
        <f>$T$14*A18-$T$13*A18^2/2</f>
        <v>2240.9999999999991</v>
      </c>
      <c r="U18" s="359">
        <v>15</v>
      </c>
      <c r="V18" s="359">
        <v>1.1259999999999999</v>
      </c>
      <c r="W18" s="359">
        <v>3453.7901000000002</v>
      </c>
      <c r="X18" s="359">
        <v>0.93799999999999994</v>
      </c>
      <c r="Y18" s="359">
        <v>3848.3946999999998</v>
      </c>
      <c r="Z18" s="359">
        <v>0.188</v>
      </c>
      <c r="AA18" s="359">
        <v>3903.9890999999998</v>
      </c>
      <c r="AB18" s="359">
        <v>0.188</v>
      </c>
      <c r="AC18" s="359">
        <v>3903.9890999999998</v>
      </c>
      <c r="AD18" s="359">
        <v>0.93799999999999994</v>
      </c>
      <c r="AE18" s="359">
        <v>3848.3946999999998</v>
      </c>
      <c r="AF18" s="359">
        <v>1.1259999999999999</v>
      </c>
      <c r="AG18" s="359">
        <v>3453.7901000000002</v>
      </c>
    </row>
    <row r="19" spans="1:36" x14ac:dyDescent="0.2">
      <c r="A19" s="348" t="s">
        <v>75</v>
      </c>
      <c r="B19" s="348">
        <f>MAX(B15:B18)</f>
        <v>177.54400000000004</v>
      </c>
      <c r="C19" s="348">
        <f t="shared" ref="C19:M19" si="30">MAX(C15:C18)</f>
        <v>1283.9351000000011</v>
      </c>
      <c r="D19" s="348">
        <f t="shared" si="30"/>
        <v>218.17400000000009</v>
      </c>
      <c r="E19" s="348">
        <f t="shared" si="30"/>
        <v>1749.6847000000007</v>
      </c>
      <c r="F19" s="348">
        <f t="shared" si="30"/>
        <v>225.70900000000006</v>
      </c>
      <c r="G19" s="348">
        <f t="shared" si="30"/>
        <v>1805.2791000000007</v>
      </c>
      <c r="H19" s="348">
        <f t="shared" si="30"/>
        <v>225.70900000000006</v>
      </c>
      <c r="I19" s="348">
        <f t="shared" si="30"/>
        <v>1805.2791000000007</v>
      </c>
      <c r="J19" s="348">
        <f t="shared" si="30"/>
        <v>218.17400000000009</v>
      </c>
      <c r="K19" s="348">
        <f t="shared" si="30"/>
        <v>1749.6847000000007</v>
      </c>
      <c r="L19" s="348">
        <f t="shared" si="30"/>
        <v>177.54400000000004</v>
      </c>
      <c r="M19" s="349">
        <f t="shared" si="30"/>
        <v>1283.9351000000011</v>
      </c>
      <c r="V19" s="330"/>
      <c r="W19" s="330"/>
      <c r="X19" s="330"/>
      <c r="Y19" s="330"/>
      <c r="AB19" s="368"/>
      <c r="AC19" s="368"/>
      <c r="AD19" s="368"/>
      <c r="AE19" s="368"/>
      <c r="AF19" s="368"/>
      <c r="AG19" s="368"/>
      <c r="AH19" s="368"/>
      <c r="AI19" s="368"/>
      <c r="AJ19" s="368"/>
    </row>
    <row r="20" spans="1:36" x14ac:dyDescent="0.2">
      <c r="A20" s="369"/>
      <c r="B20" s="369"/>
      <c r="C20" s="369"/>
      <c r="D20" s="369"/>
      <c r="E20" s="369"/>
      <c r="F20" s="369"/>
      <c r="G20" s="369"/>
      <c r="H20" s="369"/>
      <c r="I20" s="369"/>
      <c r="V20" s="330"/>
      <c r="W20" s="330"/>
      <c r="X20" s="330"/>
      <c r="Y20" s="330"/>
      <c r="AB20" s="368"/>
      <c r="AC20" s="368"/>
      <c r="AD20" s="368"/>
      <c r="AE20" s="368"/>
      <c r="AF20" s="368"/>
      <c r="AG20" s="368"/>
      <c r="AH20" s="368"/>
      <c r="AI20" s="368"/>
      <c r="AJ20" s="368"/>
    </row>
    <row r="21" spans="1:36" x14ac:dyDescent="0.2">
      <c r="B21" s="351" t="s">
        <v>692</v>
      </c>
      <c r="V21" s="330"/>
      <c r="W21" s="330"/>
      <c r="X21" s="330"/>
      <c r="Y21" s="330"/>
      <c r="AB21" s="368"/>
      <c r="AC21" s="368"/>
      <c r="AD21" s="368"/>
      <c r="AE21" s="368"/>
      <c r="AF21" s="368"/>
      <c r="AG21" s="368"/>
      <c r="AH21" s="368"/>
      <c r="AI21" s="368"/>
      <c r="AJ21" s="368"/>
    </row>
    <row r="22" spans="1:36" x14ac:dyDescent="0.2">
      <c r="A22" s="331"/>
      <c r="B22" s="426" t="s">
        <v>78</v>
      </c>
      <c r="C22" s="427"/>
      <c r="D22" s="452" t="s">
        <v>79</v>
      </c>
      <c r="E22" s="427"/>
      <c r="F22" s="452" t="s">
        <v>80</v>
      </c>
      <c r="G22" s="427"/>
      <c r="H22" s="452" t="s">
        <v>81</v>
      </c>
      <c r="I22" s="427"/>
      <c r="J22" s="452" t="s">
        <v>1052</v>
      </c>
      <c r="K22" s="427"/>
      <c r="L22" s="452" t="s">
        <v>1053</v>
      </c>
      <c r="M22" s="427"/>
      <c r="U22" s="370"/>
      <c r="V22" s="330"/>
      <c r="W22" s="330"/>
      <c r="X22" s="330"/>
      <c r="Y22" s="330"/>
      <c r="AB22" s="368"/>
      <c r="AC22" s="368"/>
      <c r="AD22" s="368"/>
      <c r="AE22" s="368"/>
      <c r="AF22" s="368"/>
      <c r="AG22" s="368"/>
      <c r="AH22" s="368"/>
      <c r="AI22" s="368"/>
      <c r="AJ22" s="368"/>
    </row>
    <row r="23" spans="1:36" x14ac:dyDescent="0.2">
      <c r="A23" s="334" t="s">
        <v>72</v>
      </c>
      <c r="B23" s="334" t="s">
        <v>73</v>
      </c>
      <c r="C23" s="334" t="s">
        <v>74</v>
      </c>
      <c r="D23" s="334" t="s">
        <v>73</v>
      </c>
      <c r="E23" s="334" t="s">
        <v>74</v>
      </c>
      <c r="F23" s="334" t="s">
        <v>73</v>
      </c>
      <c r="G23" s="334" t="s">
        <v>74</v>
      </c>
      <c r="H23" s="335" t="s">
        <v>73</v>
      </c>
      <c r="I23" s="336" t="s">
        <v>74</v>
      </c>
      <c r="J23" s="335" t="s">
        <v>73</v>
      </c>
      <c r="K23" s="336" t="s">
        <v>74</v>
      </c>
      <c r="L23" s="335" t="s">
        <v>73</v>
      </c>
      <c r="M23" s="336" t="s">
        <v>74</v>
      </c>
      <c r="V23" s="330"/>
      <c r="W23" s="330"/>
      <c r="X23" s="330"/>
      <c r="Y23" s="330"/>
      <c r="AB23" s="368"/>
      <c r="AC23" s="368"/>
      <c r="AD23" s="368"/>
      <c r="AE23" s="368"/>
      <c r="AF23" s="368"/>
      <c r="AG23" s="368"/>
      <c r="AH23" s="368"/>
      <c r="AI23" s="368"/>
      <c r="AJ23" s="368"/>
    </row>
    <row r="24" spans="1:36" x14ac:dyDescent="0.2">
      <c r="A24" s="337" t="s">
        <v>19</v>
      </c>
      <c r="B24" s="337" t="s">
        <v>25</v>
      </c>
      <c r="C24" s="337" t="s">
        <v>691</v>
      </c>
      <c r="D24" s="337" t="s">
        <v>25</v>
      </c>
      <c r="E24" s="337" t="s">
        <v>691</v>
      </c>
      <c r="F24" s="337" t="s">
        <v>25</v>
      </c>
      <c r="G24" s="337" t="s">
        <v>691</v>
      </c>
      <c r="H24" s="338" t="s">
        <v>25</v>
      </c>
      <c r="I24" s="339" t="s">
        <v>691</v>
      </c>
      <c r="J24" s="338" t="s">
        <v>25</v>
      </c>
      <c r="K24" s="339" t="s">
        <v>23</v>
      </c>
      <c r="L24" s="338" t="s">
        <v>25</v>
      </c>
      <c r="M24" s="339" t="s">
        <v>23</v>
      </c>
      <c r="V24" s="330"/>
      <c r="W24" s="330"/>
      <c r="X24" s="330"/>
      <c r="Y24" s="330"/>
      <c r="AB24" s="368"/>
      <c r="AC24" s="368"/>
      <c r="AD24" s="368"/>
      <c r="AE24" s="368"/>
      <c r="AF24" s="368"/>
      <c r="AG24" s="368"/>
      <c r="AH24" s="368"/>
      <c r="AI24" s="368"/>
      <c r="AJ24" s="368"/>
    </row>
    <row r="25" spans="1:36" x14ac:dyDescent="0.2">
      <c r="A25" s="371">
        <v>0</v>
      </c>
      <c r="B25" s="372">
        <v>170.02500000000001</v>
      </c>
      <c r="C25" s="372">
        <v>78.061899999999994</v>
      </c>
      <c r="D25" s="373">
        <v>140.49299999999999</v>
      </c>
      <c r="E25" s="373">
        <v>3.5703999999999998</v>
      </c>
      <c r="F25" s="373">
        <v>138.05500000000001</v>
      </c>
      <c r="G25" s="373">
        <v>41.7898</v>
      </c>
      <c r="H25" s="374">
        <v>145.50299999999999</v>
      </c>
      <c r="I25" s="375">
        <v>49.191899999999997</v>
      </c>
      <c r="J25" s="374">
        <v>180.07900000000001</v>
      </c>
      <c r="K25" s="375">
        <v>33.037399999999998</v>
      </c>
      <c r="L25" s="374">
        <v>279.339</v>
      </c>
      <c r="M25" s="375">
        <v>133.0607</v>
      </c>
      <c r="V25" s="330"/>
      <c r="W25" s="330"/>
      <c r="X25" s="330"/>
      <c r="Y25" s="330"/>
      <c r="AB25" s="368"/>
      <c r="AC25" s="368"/>
      <c r="AD25" s="368"/>
      <c r="AE25" s="368"/>
      <c r="AF25" s="368"/>
      <c r="AG25" s="368"/>
      <c r="AH25" s="368"/>
      <c r="AI25" s="368"/>
      <c r="AJ25" s="368"/>
    </row>
    <row r="26" spans="1:36" x14ac:dyDescent="0.2">
      <c r="A26" s="371">
        <v>5</v>
      </c>
      <c r="B26" s="372">
        <v>132.33000000000001</v>
      </c>
      <c r="C26" s="372">
        <v>651.17259999999999</v>
      </c>
      <c r="D26" s="373">
        <v>99.347999999999999</v>
      </c>
      <c r="E26" s="373">
        <v>629.74090000000001</v>
      </c>
      <c r="F26" s="373">
        <v>91.484999999999999</v>
      </c>
      <c r="G26" s="373">
        <v>640.41989999999998</v>
      </c>
      <c r="H26" s="374">
        <v>98.98</v>
      </c>
      <c r="I26" s="375">
        <v>702.11490000000003</v>
      </c>
      <c r="J26" s="374">
        <v>135.245</v>
      </c>
      <c r="K26" s="375">
        <v>865.91669999999999</v>
      </c>
      <c r="L26" s="374">
        <v>216.22499999999999</v>
      </c>
      <c r="M26" s="375">
        <v>910.91210000000001</v>
      </c>
      <c r="V26" s="330"/>
      <c r="W26" s="330"/>
      <c r="X26" s="330"/>
      <c r="Y26" s="330"/>
      <c r="AB26" s="368"/>
      <c r="AC26" s="368"/>
      <c r="AD26" s="368"/>
      <c r="AE26" s="368"/>
      <c r="AF26" s="368"/>
      <c r="AG26" s="368"/>
      <c r="AH26" s="368"/>
      <c r="AI26" s="368"/>
      <c r="AJ26" s="368"/>
    </row>
    <row r="27" spans="1:36" x14ac:dyDescent="0.2">
      <c r="A27" s="371">
        <v>10</v>
      </c>
      <c r="B27" s="372">
        <v>70.906000000000006</v>
      </c>
      <c r="C27" s="372">
        <v>973.62980000000005</v>
      </c>
      <c r="D27" s="373">
        <v>50.718000000000004</v>
      </c>
      <c r="E27" s="373">
        <v>1018.409</v>
      </c>
      <c r="F27" s="373">
        <v>45.8</v>
      </c>
      <c r="G27" s="373">
        <v>1026.7516000000001</v>
      </c>
      <c r="H27" s="374">
        <v>51.017000000000003</v>
      </c>
      <c r="I27" s="375">
        <v>1133.0192999999999</v>
      </c>
      <c r="J27" s="374">
        <v>72.257000000000005</v>
      </c>
      <c r="K27" s="375">
        <v>1403.0084999999999</v>
      </c>
      <c r="L27" s="374">
        <v>114.795</v>
      </c>
      <c r="M27" s="375">
        <v>1316.2244000000001</v>
      </c>
      <c r="V27" s="330"/>
      <c r="W27" s="330"/>
      <c r="X27" s="330"/>
      <c r="Y27" s="330"/>
      <c r="AB27" s="368"/>
      <c r="AC27" s="368"/>
      <c r="AD27" s="368"/>
      <c r="AE27" s="368"/>
      <c r="AF27" s="368"/>
      <c r="AG27" s="368"/>
      <c r="AH27" s="368"/>
      <c r="AI27" s="368"/>
      <c r="AJ27" s="368"/>
    </row>
    <row r="28" spans="1:36" x14ac:dyDescent="0.2">
      <c r="A28" s="371">
        <v>15</v>
      </c>
      <c r="B28" s="372">
        <v>15.143000000000001</v>
      </c>
      <c r="C28" s="372">
        <v>1066.4449999999999</v>
      </c>
      <c r="D28" s="373">
        <v>1.0629999999999999</v>
      </c>
      <c r="E28" s="373">
        <v>1146.6608000000001</v>
      </c>
      <c r="F28" s="373">
        <v>0.58699999999999997</v>
      </c>
      <c r="G28" s="373">
        <v>1156.8388</v>
      </c>
      <c r="H28" s="374">
        <v>1.1379999999999999</v>
      </c>
      <c r="I28" s="375">
        <v>1278.5651</v>
      </c>
      <c r="J28" s="374">
        <v>5.08</v>
      </c>
      <c r="K28" s="375">
        <v>1577.7244000000001</v>
      </c>
      <c r="L28" s="374">
        <v>27.666</v>
      </c>
      <c r="M28" s="375">
        <v>1426.4456</v>
      </c>
      <c r="V28" s="330"/>
      <c r="W28" s="330"/>
      <c r="X28" s="330"/>
      <c r="Y28" s="330"/>
      <c r="AB28" s="368"/>
      <c r="AC28" s="368"/>
      <c r="AD28" s="368"/>
      <c r="AE28" s="368"/>
      <c r="AF28" s="368"/>
      <c r="AG28" s="368"/>
      <c r="AH28" s="368"/>
      <c r="AI28" s="368"/>
      <c r="AJ28" s="368"/>
    </row>
    <row r="29" spans="1:36" x14ac:dyDescent="0.2">
      <c r="A29" s="348" t="s">
        <v>75</v>
      </c>
      <c r="B29" s="348">
        <f t="shared" ref="B29:I29" si="31">MAX(B25:B28)</f>
        <v>170.02500000000001</v>
      </c>
      <c r="C29" s="348">
        <f t="shared" si="31"/>
        <v>1066.4449999999999</v>
      </c>
      <c r="D29" s="348">
        <f t="shared" si="31"/>
        <v>140.49299999999999</v>
      </c>
      <c r="E29" s="348">
        <f t="shared" si="31"/>
        <v>1146.6608000000001</v>
      </c>
      <c r="F29" s="348">
        <f t="shared" si="31"/>
        <v>138.05500000000001</v>
      </c>
      <c r="G29" s="348">
        <f t="shared" si="31"/>
        <v>1156.8388</v>
      </c>
      <c r="H29" s="349">
        <f t="shared" si="31"/>
        <v>145.50299999999999</v>
      </c>
      <c r="I29" s="350">
        <f t="shared" si="31"/>
        <v>1278.5651</v>
      </c>
      <c r="J29" s="350">
        <f t="shared" ref="J29:M29" si="32">MAX(J25:J28)</f>
        <v>180.07900000000001</v>
      </c>
      <c r="K29" s="350">
        <f t="shared" si="32"/>
        <v>1577.7244000000001</v>
      </c>
      <c r="L29" s="350">
        <f t="shared" si="32"/>
        <v>279.339</v>
      </c>
      <c r="M29" s="350">
        <f t="shared" si="32"/>
        <v>1426.4456</v>
      </c>
      <c r="V29" s="330"/>
      <c r="W29" s="330"/>
      <c r="X29" s="330"/>
      <c r="Y29" s="330"/>
    </row>
    <row r="30" spans="1:36" x14ac:dyDescent="0.2">
      <c r="A30" s="369"/>
      <c r="B30" s="369"/>
      <c r="C30" s="369"/>
      <c r="D30" s="369"/>
      <c r="E30" s="369"/>
      <c r="F30" s="369"/>
      <c r="G30" s="369"/>
      <c r="H30" s="369"/>
      <c r="I30" s="369"/>
      <c r="V30" s="330"/>
      <c r="W30" s="330"/>
      <c r="X30" s="330"/>
      <c r="Y30" s="330"/>
    </row>
    <row r="31" spans="1:36" x14ac:dyDescent="0.2">
      <c r="B31" s="351" t="s">
        <v>1049</v>
      </c>
    </row>
    <row r="32" spans="1:36" x14ac:dyDescent="0.2">
      <c r="A32" s="331"/>
      <c r="B32" s="426" t="s">
        <v>78</v>
      </c>
      <c r="C32" s="427"/>
      <c r="D32" s="452" t="s">
        <v>79</v>
      </c>
      <c r="E32" s="427"/>
      <c r="F32" s="452" t="s">
        <v>80</v>
      </c>
      <c r="G32" s="427"/>
      <c r="H32" s="452" t="s">
        <v>81</v>
      </c>
      <c r="I32" s="427"/>
      <c r="J32" s="452" t="s">
        <v>1052</v>
      </c>
      <c r="K32" s="427"/>
      <c r="L32" s="452" t="s">
        <v>1053</v>
      </c>
      <c r="M32" s="427"/>
    </row>
    <row r="33" spans="1:13" x14ac:dyDescent="0.2">
      <c r="A33" s="334" t="s">
        <v>72</v>
      </c>
      <c r="B33" s="334" t="s">
        <v>73</v>
      </c>
      <c r="C33" s="334" t="s">
        <v>74</v>
      </c>
      <c r="D33" s="334" t="s">
        <v>73</v>
      </c>
      <c r="E33" s="334" t="s">
        <v>74</v>
      </c>
      <c r="F33" s="334" t="s">
        <v>73</v>
      </c>
      <c r="G33" s="334" t="s">
        <v>74</v>
      </c>
      <c r="H33" s="335" t="s">
        <v>73</v>
      </c>
      <c r="I33" s="336" t="s">
        <v>74</v>
      </c>
      <c r="J33" s="335" t="s">
        <v>73</v>
      </c>
      <c r="K33" s="336" t="s">
        <v>74</v>
      </c>
      <c r="L33" s="335" t="s">
        <v>73</v>
      </c>
      <c r="M33" s="336" t="s">
        <v>74</v>
      </c>
    </row>
    <row r="34" spans="1:13" x14ac:dyDescent="0.2">
      <c r="A34" s="337" t="s">
        <v>19</v>
      </c>
      <c r="B34" s="337" t="s">
        <v>25</v>
      </c>
      <c r="C34" s="337" t="s">
        <v>23</v>
      </c>
      <c r="D34" s="337" t="s">
        <v>25</v>
      </c>
      <c r="E34" s="337" t="s">
        <v>23</v>
      </c>
      <c r="F34" s="337" t="s">
        <v>25</v>
      </c>
      <c r="G34" s="337" t="s">
        <v>23</v>
      </c>
      <c r="H34" s="338" t="s">
        <v>25</v>
      </c>
      <c r="I34" s="339" t="s">
        <v>23</v>
      </c>
      <c r="J34" s="338" t="s">
        <v>25</v>
      </c>
      <c r="K34" s="339" t="s">
        <v>23</v>
      </c>
      <c r="L34" s="338" t="s">
        <v>25</v>
      </c>
      <c r="M34" s="339" t="s">
        <v>23</v>
      </c>
    </row>
    <row r="35" spans="1:13" x14ac:dyDescent="0.2">
      <c r="A35" s="371">
        <v>0</v>
      </c>
      <c r="B35" s="372">
        <v>214.91900000000001</v>
      </c>
      <c r="C35" s="372">
        <v>131.9041</v>
      </c>
      <c r="D35" s="373">
        <v>356.137</v>
      </c>
      <c r="E35" s="373">
        <v>82.517899999999997</v>
      </c>
      <c r="F35" s="373">
        <v>352.66800000000001</v>
      </c>
      <c r="G35" s="373">
        <v>121.3246</v>
      </c>
      <c r="H35" s="374">
        <v>344.12299999999999</v>
      </c>
      <c r="I35" s="375">
        <v>119.2145</v>
      </c>
      <c r="J35" s="374">
        <v>381.94299999999998</v>
      </c>
      <c r="K35" s="375">
        <v>89.403899999999993</v>
      </c>
      <c r="L35" s="374">
        <v>113.102</v>
      </c>
      <c r="M35" s="375">
        <v>138.54230000000001</v>
      </c>
    </row>
    <row r="36" spans="1:13" x14ac:dyDescent="0.2">
      <c r="A36" s="371">
        <v>5</v>
      </c>
      <c r="B36" s="372">
        <v>185.505</v>
      </c>
      <c r="C36" s="372">
        <v>996.72500000000002</v>
      </c>
      <c r="D36" s="373">
        <v>255.06299999999999</v>
      </c>
      <c r="E36" s="373">
        <v>1234.2074</v>
      </c>
      <c r="F36" s="373">
        <v>266.166</v>
      </c>
      <c r="G36" s="373">
        <v>1219.0211999999999</v>
      </c>
      <c r="H36" s="374">
        <v>265.79500000000002</v>
      </c>
      <c r="I36" s="375">
        <v>1232.2842000000001</v>
      </c>
      <c r="J36" s="374">
        <v>271.93400000000003</v>
      </c>
      <c r="K36" s="375">
        <v>1265.7928999999999</v>
      </c>
      <c r="L36" s="374">
        <v>103.741</v>
      </c>
      <c r="M36" s="375">
        <v>664.71310000000005</v>
      </c>
    </row>
    <row r="37" spans="1:13" x14ac:dyDescent="0.2">
      <c r="A37" s="371">
        <v>10</v>
      </c>
      <c r="B37" s="372">
        <v>137.17599999999999</v>
      </c>
      <c r="C37" s="372">
        <v>1585.6397999999999</v>
      </c>
      <c r="D37" s="373">
        <v>198.35900000000001</v>
      </c>
      <c r="E37" s="373">
        <v>1897.5717999999999</v>
      </c>
      <c r="F37" s="373">
        <v>200.34899999999999</v>
      </c>
      <c r="G37" s="373">
        <v>1843.5204000000001</v>
      </c>
      <c r="H37" s="374">
        <v>195.36699999999999</v>
      </c>
      <c r="I37" s="375">
        <v>1878.7246</v>
      </c>
      <c r="J37" s="374">
        <v>212.24799999999999</v>
      </c>
      <c r="K37" s="375">
        <v>1834.5381</v>
      </c>
      <c r="L37" s="374">
        <v>73.974999999999994</v>
      </c>
      <c r="M37" s="375">
        <v>1105.1803</v>
      </c>
    </row>
    <row r="38" spans="1:13" x14ac:dyDescent="0.2">
      <c r="A38" s="371">
        <v>15</v>
      </c>
      <c r="B38" s="372">
        <v>85.769000000000005</v>
      </c>
      <c r="C38" s="372">
        <v>1694.4315999999999</v>
      </c>
      <c r="D38" s="373">
        <v>165.43299999999999</v>
      </c>
      <c r="E38" s="373">
        <v>2007.1286</v>
      </c>
      <c r="F38" s="373">
        <v>148.65100000000001</v>
      </c>
      <c r="G38" s="373">
        <v>2015.3837000000001</v>
      </c>
      <c r="H38" s="374">
        <v>144.03899999999999</v>
      </c>
      <c r="I38" s="375">
        <v>2055.0832999999998</v>
      </c>
      <c r="J38" s="374">
        <v>175.446</v>
      </c>
      <c r="K38" s="375">
        <v>2002.335</v>
      </c>
      <c r="L38" s="374">
        <v>37.96</v>
      </c>
      <c r="M38" s="375">
        <v>1209.0917999999999</v>
      </c>
    </row>
    <row r="39" spans="1:13" x14ac:dyDescent="0.2">
      <c r="A39" s="348" t="s">
        <v>75</v>
      </c>
      <c r="B39" s="348">
        <f t="shared" ref="B39:I39" si="33">MAX(B35:B38)</f>
        <v>214.91900000000001</v>
      </c>
      <c r="C39" s="348">
        <f t="shared" si="33"/>
        <v>1694.4315999999999</v>
      </c>
      <c r="D39" s="348">
        <f t="shared" si="33"/>
        <v>356.137</v>
      </c>
      <c r="E39" s="348">
        <f t="shared" si="33"/>
        <v>2007.1286</v>
      </c>
      <c r="F39" s="348">
        <f t="shared" si="33"/>
        <v>352.66800000000001</v>
      </c>
      <c r="G39" s="348">
        <f t="shared" si="33"/>
        <v>2015.3837000000001</v>
      </c>
      <c r="H39" s="349">
        <f t="shared" si="33"/>
        <v>344.12299999999999</v>
      </c>
      <c r="I39" s="350">
        <f t="shared" si="33"/>
        <v>2055.0832999999998</v>
      </c>
      <c r="J39" s="350">
        <f t="shared" ref="J39" si="34">MAX(J35:J38)</f>
        <v>381.94299999999998</v>
      </c>
      <c r="K39" s="350">
        <f t="shared" ref="K39" si="35">MAX(K35:K38)</f>
        <v>2002.335</v>
      </c>
      <c r="L39" s="350">
        <f t="shared" ref="L39" si="36">MAX(L35:L38)</f>
        <v>113.102</v>
      </c>
      <c r="M39" s="350">
        <f t="shared" ref="M39" si="37">MAX(M35:M38)</f>
        <v>1209.0917999999999</v>
      </c>
    </row>
    <row r="40" spans="1:13" x14ac:dyDescent="0.2">
      <c r="J40" s="452"/>
      <c r="K40" s="452"/>
    </row>
    <row r="41" spans="1:13" x14ac:dyDescent="0.2">
      <c r="B41" s="376" t="s">
        <v>338</v>
      </c>
    </row>
    <row r="42" spans="1:13" x14ac:dyDescent="0.2">
      <c r="A42" s="331"/>
      <c r="B42" s="426" t="s">
        <v>78</v>
      </c>
      <c r="C42" s="427"/>
      <c r="D42" s="452" t="s">
        <v>79</v>
      </c>
      <c r="E42" s="427"/>
      <c r="F42" s="452" t="s">
        <v>80</v>
      </c>
      <c r="G42" s="427"/>
      <c r="H42" s="452" t="s">
        <v>81</v>
      </c>
      <c r="I42" s="427"/>
      <c r="J42" s="452" t="s">
        <v>1052</v>
      </c>
      <c r="K42" s="427"/>
      <c r="L42" s="452" t="s">
        <v>1053</v>
      </c>
      <c r="M42" s="427"/>
    </row>
    <row r="43" spans="1:13" x14ac:dyDescent="0.2">
      <c r="A43" s="334" t="s">
        <v>72</v>
      </c>
      <c r="B43" s="334" t="s">
        <v>73</v>
      </c>
      <c r="C43" s="334" t="s">
        <v>74</v>
      </c>
      <c r="D43" s="334" t="s">
        <v>73</v>
      </c>
      <c r="E43" s="334" t="s">
        <v>74</v>
      </c>
      <c r="F43" s="334" t="s">
        <v>73</v>
      </c>
      <c r="G43" s="334" t="s">
        <v>74</v>
      </c>
      <c r="H43" s="335" t="s">
        <v>73</v>
      </c>
      <c r="I43" s="336" t="s">
        <v>74</v>
      </c>
      <c r="J43" s="335" t="s">
        <v>73</v>
      </c>
      <c r="K43" s="336" t="s">
        <v>74</v>
      </c>
      <c r="L43" s="335" t="s">
        <v>73</v>
      </c>
      <c r="M43" s="336" t="s">
        <v>74</v>
      </c>
    </row>
    <row r="44" spans="1:13" x14ac:dyDescent="0.2">
      <c r="A44" s="337" t="s">
        <v>19</v>
      </c>
      <c r="B44" s="337" t="s">
        <v>25</v>
      </c>
      <c r="C44" s="337" t="s">
        <v>23</v>
      </c>
      <c r="D44" s="337" t="s">
        <v>25</v>
      </c>
      <c r="E44" s="337" t="s">
        <v>23</v>
      </c>
      <c r="F44" s="337" t="s">
        <v>25</v>
      </c>
      <c r="G44" s="337" t="s">
        <v>23</v>
      </c>
      <c r="H44" s="338" t="s">
        <v>25</v>
      </c>
      <c r="I44" s="339" t="s">
        <v>23</v>
      </c>
      <c r="J44" s="338" t="s">
        <v>25</v>
      </c>
      <c r="K44" s="339" t="s">
        <v>23</v>
      </c>
      <c r="L44" s="338" t="s">
        <v>25</v>
      </c>
      <c r="M44" s="339" t="s">
        <v>23</v>
      </c>
    </row>
    <row r="45" spans="1:13" x14ac:dyDescent="0.2">
      <c r="A45" s="341">
        <f>A35</f>
        <v>0</v>
      </c>
      <c r="B45" s="331">
        <f t="shared" ref="B45:M45" si="38">B5+B15+B25+B35</f>
        <v>919.29387427481879</v>
      </c>
      <c r="C45" s="331">
        <f t="shared" si="38"/>
        <v>235.7567</v>
      </c>
      <c r="D45" s="331">
        <f t="shared" si="38"/>
        <v>1071.6098742748188</v>
      </c>
      <c r="E45" s="331">
        <f t="shared" si="38"/>
        <v>100.6818</v>
      </c>
      <c r="F45" s="331">
        <f t="shared" si="38"/>
        <v>1073.2378742748188</v>
      </c>
      <c r="G45" s="331">
        <f t="shared" si="38"/>
        <v>174.3116</v>
      </c>
      <c r="H45" s="331">
        <f t="shared" si="38"/>
        <v>1072.1408742748188</v>
      </c>
      <c r="I45" s="331">
        <f t="shared" si="38"/>
        <v>179.6036</v>
      </c>
      <c r="J45" s="331">
        <f t="shared" si="38"/>
        <v>1137.0018742748189</v>
      </c>
      <c r="K45" s="331">
        <f t="shared" si="38"/>
        <v>137.03479999999999</v>
      </c>
      <c r="L45" s="331">
        <f t="shared" si="38"/>
        <v>926.79087427481875</v>
      </c>
      <c r="M45" s="140">
        <f t="shared" si="38"/>
        <v>297.39370000000002</v>
      </c>
    </row>
    <row r="46" spans="1:13" x14ac:dyDescent="0.2">
      <c r="A46" s="341">
        <f>A36</f>
        <v>5</v>
      </c>
      <c r="B46" s="331">
        <f t="shared" ref="B46:M46" si="39">B6+B16+B26+B36</f>
        <v>680.62858284987919</v>
      </c>
      <c r="C46" s="331">
        <f t="shared" si="39"/>
        <v>3624.6826428117447</v>
      </c>
      <c r="D46" s="331">
        <f t="shared" si="39"/>
        <v>737.53858284987928</v>
      </c>
      <c r="E46" s="331">
        <f t="shared" si="39"/>
        <v>4086.9472428117451</v>
      </c>
      <c r="F46" s="331">
        <f t="shared" si="39"/>
        <v>749.48358284987921</v>
      </c>
      <c r="G46" s="331">
        <f t="shared" si="39"/>
        <v>4109.3664428117445</v>
      </c>
      <c r="H46" s="331">
        <f t="shared" si="39"/>
        <v>756.60758284987924</v>
      </c>
      <c r="I46" s="331">
        <f t="shared" si="39"/>
        <v>4184.324442811745</v>
      </c>
      <c r="J46" s="331">
        <f t="shared" si="39"/>
        <v>790.30658284987931</v>
      </c>
      <c r="K46" s="331">
        <f t="shared" si="39"/>
        <v>4354.7085428117443</v>
      </c>
      <c r="L46" s="331">
        <f t="shared" si="39"/>
        <v>682.75958284987917</v>
      </c>
      <c r="M46" s="139">
        <f t="shared" si="39"/>
        <v>3552.4102428117449</v>
      </c>
    </row>
    <row r="47" spans="1:13" x14ac:dyDescent="0.2">
      <c r="A47" s="341">
        <f>A37</f>
        <v>10</v>
      </c>
      <c r="B47" s="331">
        <f t="shared" ref="B47:M47" si="40">B7+B17+B27+B37</f>
        <v>394.31829142493962</v>
      </c>
      <c r="C47" s="331">
        <f t="shared" si="40"/>
        <v>5734.2364284987925</v>
      </c>
      <c r="D47" s="331">
        <f t="shared" si="40"/>
        <v>445.79229142493966</v>
      </c>
      <c r="E47" s="331">
        <f t="shared" si="40"/>
        <v>6490.1884284987918</v>
      </c>
      <c r="F47" s="331">
        <f t="shared" si="40"/>
        <v>447.64229142493963</v>
      </c>
      <c r="G47" s="331">
        <f t="shared" si="40"/>
        <v>6492.9182284987928</v>
      </c>
      <c r="H47" s="331">
        <f t="shared" si="40"/>
        <v>447.87729142493959</v>
      </c>
      <c r="I47" s="331">
        <f t="shared" si="40"/>
        <v>6634.3901284987915</v>
      </c>
      <c r="J47" s="331">
        <f t="shared" si="40"/>
        <v>481.2202914249396</v>
      </c>
      <c r="K47" s="331">
        <f t="shared" si="40"/>
        <v>6811.7542284987921</v>
      </c>
      <c r="L47" s="331">
        <f t="shared" si="40"/>
        <v>375.0062914249396</v>
      </c>
      <c r="M47" s="139">
        <f t="shared" si="40"/>
        <v>5596.371528498792</v>
      </c>
    </row>
    <row r="48" spans="1:13" x14ac:dyDescent="0.2">
      <c r="A48" s="341">
        <f>A38</f>
        <v>15</v>
      </c>
      <c r="B48" s="331">
        <f t="shared" ref="B48:M48" si="41">B8+B18+B28+B38</f>
        <v>113.831</v>
      </c>
      <c r="C48" s="331">
        <f t="shared" si="41"/>
        <v>6358.105757061142</v>
      </c>
      <c r="D48" s="331">
        <f t="shared" si="41"/>
        <v>183.97</v>
      </c>
      <c r="E48" s="331">
        <f t="shared" si="41"/>
        <v>7216.7681570611421</v>
      </c>
      <c r="F48" s="331">
        <f t="shared" si="41"/>
        <v>165.96200000000002</v>
      </c>
      <c r="G48" s="331">
        <f t="shared" si="41"/>
        <v>7290.7956570611423</v>
      </c>
      <c r="H48" s="331">
        <f t="shared" si="41"/>
        <v>161.90099999999998</v>
      </c>
      <c r="I48" s="331">
        <f t="shared" si="41"/>
        <v>7452.2215570611406</v>
      </c>
      <c r="J48" s="331">
        <f t="shared" si="41"/>
        <v>198</v>
      </c>
      <c r="K48" s="331">
        <f t="shared" si="41"/>
        <v>7643.0381570611416</v>
      </c>
      <c r="L48" s="331">
        <f t="shared" si="41"/>
        <v>78.545000000000002</v>
      </c>
      <c r="M48" s="77">
        <f t="shared" si="41"/>
        <v>6232.7665570611425</v>
      </c>
    </row>
    <row r="49" spans="1:13" x14ac:dyDescent="0.2">
      <c r="A49" s="348" t="str">
        <f t="shared" ref="A49" si="42">A39</f>
        <v>max</v>
      </c>
      <c r="B49" s="350">
        <f t="shared" ref="B49" si="43">MAX(B45:B48)</f>
        <v>919.29387427481879</v>
      </c>
      <c r="C49" s="350">
        <f t="shared" ref="C49" si="44">MAX(C45:C48)</f>
        <v>6358.105757061142</v>
      </c>
      <c r="D49" s="350">
        <f t="shared" ref="D49" si="45">MAX(D45:D48)</f>
        <v>1071.6098742748188</v>
      </c>
      <c r="E49" s="350">
        <f t="shared" ref="E49" si="46">MAX(E45:E48)</f>
        <v>7216.7681570611421</v>
      </c>
      <c r="F49" s="350">
        <f t="shared" ref="F49" si="47">MAX(F45:F48)</f>
        <v>1073.2378742748188</v>
      </c>
      <c r="G49" s="350">
        <f t="shared" ref="G49" si="48">MAX(G45:G48)</f>
        <v>7290.7956570611423</v>
      </c>
      <c r="H49" s="350">
        <f t="shared" ref="H49" si="49">MAX(H45:H48)</f>
        <v>1072.1408742748188</v>
      </c>
      <c r="I49" s="350">
        <f t="shared" ref="I49" si="50">MAX(I45:I48)</f>
        <v>7452.2215570611406</v>
      </c>
      <c r="J49" s="350">
        <f t="shared" ref="J49" si="51">MAX(J45:J48)</f>
        <v>1137.0018742748189</v>
      </c>
      <c r="K49" s="350">
        <f t="shared" ref="K49" si="52">MAX(K45:K48)</f>
        <v>7643.0381570611416</v>
      </c>
      <c r="L49" s="350">
        <f t="shared" ref="L49" si="53">MAX(L45:L48)</f>
        <v>926.79087427481875</v>
      </c>
      <c r="M49" s="350">
        <f t="shared" ref="M49" si="54">MAX(M45:M48)</f>
        <v>6232.7665570611425</v>
      </c>
    </row>
  </sheetData>
  <mergeCells count="31">
    <mergeCell ref="J32:K32"/>
    <mergeCell ref="L32:M32"/>
    <mergeCell ref="J40:K40"/>
    <mergeCell ref="J12:K12"/>
    <mergeCell ref="L12:M12"/>
    <mergeCell ref="J22:K22"/>
    <mergeCell ref="L22:M22"/>
    <mergeCell ref="B42:C42"/>
    <mergeCell ref="D42:E42"/>
    <mergeCell ref="F42:G42"/>
    <mergeCell ref="H42:I42"/>
    <mergeCell ref="B32:C32"/>
    <mergeCell ref="D32:E32"/>
    <mergeCell ref="F32:G32"/>
    <mergeCell ref="H32:I32"/>
    <mergeCell ref="J2:K2"/>
    <mergeCell ref="L2:M2"/>
    <mergeCell ref="J42:K42"/>
    <mergeCell ref="L42:M42"/>
    <mergeCell ref="B2:C2"/>
    <mergeCell ref="D2:E2"/>
    <mergeCell ref="F2:G2"/>
    <mergeCell ref="H2:I2"/>
    <mergeCell ref="B12:C12"/>
    <mergeCell ref="D12:E12"/>
    <mergeCell ref="F12:G12"/>
    <mergeCell ref="H12:I12"/>
    <mergeCell ref="B22:C22"/>
    <mergeCell ref="D22:E22"/>
    <mergeCell ref="F22:G22"/>
    <mergeCell ref="H22:I22"/>
  </mergeCells>
  <pageMargins left="0.7" right="0.7" top="0.75" bottom="0.75" header="0.3" footer="0.3"/>
  <pageSetup paperSize="9" scale="9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2:V31"/>
  <sheetViews>
    <sheetView topLeftCell="A22" zoomScaleNormal="100" workbookViewId="0">
      <selection activeCell="G14" sqref="B14:R16"/>
    </sheetView>
  </sheetViews>
  <sheetFormatPr defaultColWidth="9.109375" defaultRowHeight="10.65" x14ac:dyDescent="0.2"/>
  <cols>
    <col min="1" max="1" width="7" style="44" customWidth="1"/>
    <col min="2" max="2" width="6.5546875" style="44" customWidth="1"/>
    <col min="3" max="3" width="6.88671875" style="44" customWidth="1"/>
    <col min="4" max="8" width="6.5546875" style="44" customWidth="1"/>
    <col min="9" max="9" width="6.33203125" style="44" customWidth="1"/>
    <col min="10" max="15" width="6.5546875" style="44" customWidth="1"/>
    <col min="16" max="16" width="7" style="44" customWidth="1"/>
    <col min="17" max="17" width="7.33203125" style="44" customWidth="1"/>
    <col min="18" max="18" width="9.109375" style="274" bestFit="1" customWidth="1"/>
    <col min="19" max="16384" width="9.109375" style="44"/>
  </cols>
  <sheetData>
    <row r="2" spans="1:22" x14ac:dyDescent="0.2">
      <c r="D2" s="44" t="s">
        <v>386</v>
      </c>
      <c r="H2" s="44">
        <f>co/10</f>
        <v>5</v>
      </c>
      <c r="I2" s="44" t="s">
        <v>21</v>
      </c>
    </row>
    <row r="3" spans="1:22" x14ac:dyDescent="0.2">
      <c r="D3" s="44" t="s">
        <v>819</v>
      </c>
      <c r="H3" s="83">
        <v>20</v>
      </c>
      <c r="I3" s="44" t="s">
        <v>21</v>
      </c>
    </row>
    <row r="4" spans="1:22" x14ac:dyDescent="0.2">
      <c r="A4" s="67"/>
      <c r="D4" s="44" t="s">
        <v>818</v>
      </c>
      <c r="H4" s="83">
        <v>42</v>
      </c>
      <c r="I4" s="44" t="s">
        <v>21</v>
      </c>
      <c r="T4" s="44" t="s">
        <v>394</v>
      </c>
      <c r="V4" s="44">
        <v>10</v>
      </c>
    </row>
    <row r="5" spans="1:22" x14ac:dyDescent="0.2">
      <c r="T5" s="44" t="s">
        <v>395</v>
      </c>
      <c r="V5" s="44">
        <f>'Girder Property'!A409</f>
        <v>42</v>
      </c>
    </row>
    <row r="6" spans="1:22" x14ac:dyDescent="0.2">
      <c r="T6" s="44" t="s">
        <v>396</v>
      </c>
      <c r="V6" s="44">
        <f>'Girder Property'!A410</f>
        <v>42</v>
      </c>
    </row>
    <row r="7" spans="1:22" x14ac:dyDescent="0.2">
      <c r="T7" s="44" t="s">
        <v>386</v>
      </c>
      <c r="V7" s="44">
        <f>'Girder Property'!A408</f>
        <v>7.5</v>
      </c>
    </row>
    <row r="10" spans="1:22" x14ac:dyDescent="0.2">
      <c r="B10" s="44" t="s">
        <v>59</v>
      </c>
    </row>
    <row r="12" spans="1:22" x14ac:dyDescent="0.2">
      <c r="A12" s="232"/>
      <c r="B12" s="455" t="s">
        <v>107</v>
      </c>
      <c r="C12" s="456"/>
      <c r="D12" s="456"/>
      <c r="E12" s="456"/>
      <c r="F12" s="456"/>
      <c r="G12" s="456"/>
      <c r="H12" s="456"/>
      <c r="I12" s="456"/>
      <c r="J12" s="456"/>
      <c r="K12" s="456"/>
      <c r="L12" s="456"/>
      <c r="M12" s="456"/>
      <c r="N12" s="456"/>
      <c r="O12" s="456"/>
      <c r="P12" s="456"/>
      <c r="Q12" s="456"/>
      <c r="R12" s="457"/>
      <c r="S12" s="275"/>
    </row>
    <row r="13" spans="1:22" x14ac:dyDescent="0.2">
      <c r="A13" s="246" t="s">
        <v>105</v>
      </c>
      <c r="B13" s="75">
        <v>0</v>
      </c>
      <c r="C13" s="75">
        <v>1</v>
      </c>
      <c r="D13" s="75">
        <v>2</v>
      </c>
      <c r="E13" s="75">
        <v>3</v>
      </c>
      <c r="F13" s="75">
        <v>4</v>
      </c>
      <c r="G13" s="75">
        <v>5</v>
      </c>
      <c r="H13" s="75">
        <v>6</v>
      </c>
      <c r="I13" s="75">
        <v>7</v>
      </c>
      <c r="J13" s="75">
        <v>8</v>
      </c>
      <c r="K13" s="75">
        <v>9</v>
      </c>
      <c r="L13" s="75">
        <v>10</v>
      </c>
      <c r="M13" s="75">
        <v>11</v>
      </c>
      <c r="N13" s="75">
        <v>12</v>
      </c>
      <c r="O13" s="75">
        <v>13</v>
      </c>
      <c r="P13" s="75">
        <v>14</v>
      </c>
      <c r="Q13" s="75">
        <v>15</v>
      </c>
      <c r="R13" s="276">
        <f>tspan/2</f>
        <v>15.3</v>
      </c>
      <c r="S13" s="172"/>
      <c r="T13" s="44" t="s">
        <v>82</v>
      </c>
    </row>
    <row r="14" spans="1:22" ht="12.7" customHeight="1" x14ac:dyDescent="0.2">
      <c r="A14" s="246">
        <v>1</v>
      </c>
      <c r="B14" s="277">
        <f>IF(IF(B$13&lt;$B$13,$T14,($U14-$T14)/($R$13-$B$13)^2*(B$13-$B$13)^2+$T14)&gt;('Girder Property'!$B$107-'Girder Property'!$A$408)," ",IF(B$13&lt;$B$13,$T14,($U14-$T14)/($R$13-$B$13)^2*(B$13-$B$13)^2+$T14))</f>
        <v>15</v>
      </c>
      <c r="C14" s="277">
        <f>IF(IF(C$13&lt;$B$13,$T14,($U14-$T14)/($R$13-$B$13)^2*(C$13-$B$13)^2+$T14)&gt;('Girder Property'!$B$107-'Girder Property'!$A$408)," ",IF(C$13&lt;$B$13,$T14,($U14-$T14)/($R$13-$B$13)^2*(C$13-$B$13)^2+$T14))</f>
        <v>15.064077918749199</v>
      </c>
      <c r="D14" s="277">
        <f>IF(IF(D$13&lt;$B$13,$T14,($U14-$T14)/($R$13-$B$13)^2*(D$13-$B$13)^2+$T14)&gt;('Girder Property'!$B$107-'Girder Property'!$A$408)," ",IF(D$13&lt;$B$13,$T14,($U14-$T14)/($R$13-$B$13)^2*(D$13-$B$13)^2+$T14))</f>
        <v>15.256311674996796</v>
      </c>
      <c r="E14" s="277">
        <f>IF(IF(E$13&lt;$B$13,$T14,($U14-$T14)/($R$13-$B$13)^2*(E$13-$B$13)^2+$T14)&gt;('Girder Property'!$B$107-'Girder Property'!$A$408)," ",IF(E$13&lt;$B$13,$T14,($U14-$T14)/($R$13-$B$13)^2*(E$13-$B$13)^2+$T14))</f>
        <v>15.576701268742791</v>
      </c>
      <c r="F14" s="277">
        <f>IF(IF(F$13&lt;$B$13,$T14,($U14-$T14)/($R$13-$B$13)^2*(F$13-$B$13)^2+$T14)&gt;('Girder Property'!$B$107-'Girder Property'!$A$408)," ",IF(F$13&lt;$B$13,$T14,($U14-$T14)/($R$13-$B$13)^2*(F$13-$B$13)^2+$T14))</f>
        <v>16.025246699987186</v>
      </c>
      <c r="G14" s="277">
        <f>IF(IF(G$13&lt;$B$13,$T14,($U14-$T14)/($R$13-$B$13)^2*(G$13-$B$13)^2+$T14)&gt;('Girder Property'!$B$107-'Girder Property'!$A$408)," ",IF(G$13&lt;$B$13,$T14,($U14-$T14)/($R$13-$B$13)^2*(G$13-$B$13)^2+$T14))</f>
        <v>16.601947968729977</v>
      </c>
      <c r="H14" s="277">
        <f>IF(IF(H$13&lt;$B$13,$T14,($U14-$T14)/($R$13-$B$13)^2*(H$13-$B$13)^2+$T14)&gt;('Girder Property'!$B$107-'Girder Property'!$A$408)," ",IF(H$13&lt;$B$13,$T14,($U14-$T14)/($R$13-$B$13)^2*(H$13-$B$13)^2+$T14))</f>
        <v>17.306805074971166</v>
      </c>
      <c r="I14" s="277">
        <f>IF(IF(I$13&lt;$B$13,$T14,($U14-$T14)/($R$13-$B$13)^2*(I$13-$B$13)^2+$T14)&gt;('Girder Property'!$B$107-'Girder Property'!$A$408)," ",IF(I$13&lt;$B$13,$T14,($U14-$T14)/($R$13-$B$13)^2*(I$13-$B$13)^2+$T14))</f>
        <v>18.139818018710752</v>
      </c>
      <c r="J14" s="277">
        <f>IF(IF(J$13&lt;$B$13,$T14,($U14-$T14)/($R$13-$B$13)^2*(J$13-$B$13)^2+$T14)&gt;('Girder Property'!$B$107-'Girder Property'!$A$408)," ",IF(J$13&lt;$B$13,$T14,($U14-$T14)/($R$13-$B$13)^2*(J$13-$B$13)^2+$T14))</f>
        <v>19.100986799948735</v>
      </c>
      <c r="K14" s="277">
        <f>IF(IF(K$13&lt;$B$13,$T14,($U14-$T14)/($R$13-$B$13)^2*(K$13-$B$13)^2+$T14)&gt;('Girder Property'!$B$107-'Girder Property'!$A$408)," ",IF(K$13&lt;$B$13,$T14,($U14-$T14)/($R$13-$B$13)^2*(K$13-$B$13)^2+$T14))</f>
        <v>20.19031141868512</v>
      </c>
      <c r="L14" s="277">
        <f>IF(IF(L$13&lt;$B$13,$T14,($U14-$T14)/($R$13-$B$13)^2*(L$13-$B$13)^2+$T14)&gt;('Girder Property'!$B$107-'Girder Property'!$A$408)," ",IF(L$13&lt;$B$13,$T14,($U14-$T14)/($R$13-$B$13)^2*(L$13-$B$13)^2+$T14))</f>
        <v>21.407791874919901</v>
      </c>
      <c r="M14" s="277">
        <f>IF(IF(M$13&lt;$B$13,$T14,($U14-$T14)/($R$13-$B$13)^2*(M$13-$B$13)^2+$T14)&gt;('Girder Property'!$B$107-'Girder Property'!$A$408)," ",IF(M$13&lt;$B$13,$T14,($U14-$T14)/($R$13-$B$13)^2*(M$13-$B$13)^2+$T14))</f>
        <v>22.75342816865308</v>
      </c>
      <c r="N14" s="277">
        <f>IF(IF(N$13&lt;$B$13,$T14,($U14-$T14)/($R$13-$B$13)^2*(N$13-$B$13)^2+$T14)&gt;('Girder Property'!$B$107-'Girder Property'!$A$408)," ",IF(N$13&lt;$B$13,$T14,($U14-$T14)/($R$13-$B$13)^2*(N$13-$B$13)^2+$T14))</f>
        <v>24.227220299884657</v>
      </c>
      <c r="O14" s="277">
        <f>IF(IF(O$13&lt;$B$13,$T14,($U14-$T14)/($R$13-$B$13)^2*(O$13-$B$13)^2+$T14)&gt;('Girder Property'!$B$107-'Girder Property'!$A$408)," ",IF(O$13&lt;$B$13,$T14,($U14-$T14)/($R$13-$B$13)^2*(O$13-$B$13)^2+$T14))</f>
        <v>25.829168268614634</v>
      </c>
      <c r="P14" s="277">
        <f>IF(IF(P$13&lt;$B$13,$T14,($U14-$T14)/($R$13-$B$13)^2*(P$13-$B$13)^2+$T14)&gt;('Girder Property'!$B$107-'Girder Property'!$A$408)," ",IF(P$13&lt;$B$13,$T14,($U14-$T14)/($R$13-$B$13)^2*(P$13-$B$13)^2+$T14))</f>
        <v>27.559272074843008</v>
      </c>
      <c r="Q14" s="277">
        <f>IF(IF(Q$13&lt;$B$13,$T14,($U14-$T14)/($R$13-$B$13)^2*(Q$13-$B$13)^2+$T14)&gt;('Girder Property'!$B$107-'Girder Property'!$A$408)," ",IF(Q$13&lt;$B$13,$T14,($U14-$T14)/($R$13-$B$13)^2*(Q$13-$B$13)^2+$T14))</f>
        <v>29.41753171856978</v>
      </c>
      <c r="R14" s="277">
        <f>IF(IF(R$13&lt;$B$13,$T14,($U14-$T14)/($R$13-$B$13)^2*(R$13-$B$13)^2+$T14)&gt;('Girder Property'!$B$107-'Girder Property'!$A$408)," ",IF(R$13&lt;$B$13,$T14,($U14-$T14)/($R$13-$B$13)^2*(R$13-$B$13)^2+$T14))</f>
        <v>30</v>
      </c>
      <c r="S14" s="458" t="s">
        <v>106</v>
      </c>
      <c r="T14" s="80">
        <v>15</v>
      </c>
      <c r="U14" s="80">
        <v>30</v>
      </c>
      <c r="V14" s="182">
        <v>50</v>
      </c>
    </row>
    <row r="15" spans="1:22" x14ac:dyDescent="0.2">
      <c r="A15" s="246">
        <v>2</v>
      </c>
      <c r="B15" s="277">
        <f>IF(IF(B$13&lt;$B$13,$T15,($U15-$T15)/($R$13-$B$13)^2*(B$13-$B$13)^2+$T15)&gt;('Girder Property'!$B$107-'Girder Property'!$A$408)," ",IF(B$13&lt;$B$13,$T15,($U15-$T15)/($R$13-$B$13)^2*(B$13-$B$13)^2+$T15))</f>
        <v>40</v>
      </c>
      <c r="C15" s="277">
        <f>IF(IF(C$13&lt;$B$13,$T15,($U15-$T15)/($R$13-$B$13)^2*(C$13-$B$13)^2+$T15)&gt;('Girder Property'!$B$107-'Girder Property'!$A$408)," ",IF(C$13&lt;$B$13,$T15,($U15-$T15)/($R$13-$B$13)^2*(C$13-$B$13)^2+$T15))</f>
        <v>40.213593062497331</v>
      </c>
      <c r="D15" s="277">
        <f>IF(IF(D$13&lt;$B$13,$T15,($U15-$T15)/($R$13-$B$13)^2*(D$13-$B$13)^2+$T15)&gt;('Girder Property'!$B$107-'Girder Property'!$A$408)," ",IF(D$13&lt;$B$13,$T15,($U15-$T15)/($R$13-$B$13)^2*(D$13-$B$13)^2+$T15))</f>
        <v>40.854372249989318</v>
      </c>
      <c r="E15" s="277">
        <f>IF(IF(E$13&lt;$B$13,$T15,($U15-$T15)/($R$13-$B$13)^2*(E$13-$B$13)^2+$T15)&gt;('Girder Property'!$B$107-'Girder Property'!$A$408)," ",IF(E$13&lt;$B$13,$T15,($U15-$T15)/($R$13-$B$13)^2*(E$13-$B$13)^2+$T15))</f>
        <v>41.922337562475974</v>
      </c>
      <c r="F15" s="277">
        <f>IF(IF(F$13&lt;$B$13,$T15,($U15-$T15)/($R$13-$B$13)^2*(F$13-$B$13)^2+$T15)&gt;('Girder Property'!$B$107-'Girder Property'!$A$408)," ",IF(F$13&lt;$B$13,$T15,($U15-$T15)/($R$13-$B$13)^2*(F$13-$B$13)^2+$T15))</f>
        <v>43.417488999957278</v>
      </c>
      <c r="G15" s="277">
        <f>IF(IF(G$13&lt;$B$13,$T15,($U15-$T15)/($R$13-$B$13)^2*(G$13-$B$13)^2+$T15)&gt;('Girder Property'!$B$107-'Girder Property'!$A$408)," ",IF(G$13&lt;$B$13,$T15,($U15-$T15)/($R$13-$B$13)^2*(G$13-$B$13)^2+$T15))</f>
        <v>45.339826562433252</v>
      </c>
      <c r="H15" s="277">
        <f>IF(IF(H$13&lt;$B$13,$T15,($U15-$T15)/($R$13-$B$13)^2*(H$13-$B$13)^2+$T15)&gt;('Girder Property'!$B$107-'Girder Property'!$A$408)," ",IF(H$13&lt;$B$13,$T15,($U15-$T15)/($R$13-$B$13)^2*(H$13-$B$13)^2+$T15))</f>
        <v>47.689350249903882</v>
      </c>
      <c r="I15" s="277">
        <f>IF(IF(I$13&lt;$B$13,$T15,($U15-$T15)/($R$13-$B$13)^2*(I$13-$B$13)^2+$T15)&gt;('Girder Property'!$B$107-'Girder Property'!$A$408)," ",IF(I$13&lt;$B$13,$T15,($U15-$T15)/($R$13-$B$13)^2*(I$13-$B$13)^2+$T15))</f>
        <v>50.466060062369174</v>
      </c>
      <c r="J15" s="277">
        <f>IF(IF(J$13&lt;$B$13,$T15,($U15-$T15)/($R$13-$B$13)^2*(J$13-$B$13)^2+$T15)&gt;('Girder Property'!$B$107-'Girder Property'!$A$408)," ",IF(J$13&lt;$B$13,$T15,($U15-$T15)/($R$13-$B$13)^2*(J$13-$B$13)^2+$T15))</f>
        <v>53.669955999829128</v>
      </c>
      <c r="K15" s="277">
        <f>IF(IF(K$13&lt;$B$13,$T15,($U15-$T15)/($R$13-$B$13)^2*(K$13-$B$13)^2+$T15)&gt;('Girder Property'!$B$107-'Girder Property'!$A$408)," ",IF(K$13&lt;$B$13,$T15,($U15-$T15)/($R$13-$B$13)^2*(K$13-$B$13)^2+$T15))</f>
        <v>57.301038062283737</v>
      </c>
      <c r="L15" s="277">
        <f>IF(IF(L$13&lt;$B$13,$T15,($U15-$T15)/($R$13-$B$13)^2*(L$13-$B$13)^2+$T15)&gt;('Girder Property'!$B$107-'Girder Property'!$A$408)," ",IF(L$13&lt;$B$13,$T15,($U15-$T15)/($R$13-$B$13)^2*(L$13-$B$13)^2+$T15))</f>
        <v>61.35930624973301</v>
      </c>
      <c r="M15" s="277">
        <f>IF(IF(M$13&lt;$B$13,$T15,($U15-$T15)/($R$13-$B$13)^2*(M$13-$B$13)^2+$T15)&gt;('Girder Property'!$B$107-'Girder Property'!$A$408)," ",IF(M$13&lt;$B$13,$T15,($U15-$T15)/($R$13-$B$13)^2*(M$13-$B$13)^2+$T15))</f>
        <v>65.84476056217693</v>
      </c>
      <c r="N15" s="277">
        <f>IF(IF(N$13&lt;$B$13,$T15,($U15-$T15)/($R$13-$B$13)^2*(N$13-$B$13)^2+$T15)&gt;('Girder Property'!$B$107-'Girder Property'!$A$408)," ",IF(N$13&lt;$B$13,$T15,($U15-$T15)/($R$13-$B$13)^2*(N$13-$B$13)^2+$T15))</f>
        <v>70.757400999615527</v>
      </c>
      <c r="O15" s="277">
        <f>IF(IF(O$13&lt;$B$13,$T15,($U15-$T15)/($R$13-$B$13)^2*(O$13-$B$13)^2+$T15)&gt;('Girder Property'!$B$107-'Girder Property'!$A$408)," ",IF(O$13&lt;$B$13,$T15,($U15-$T15)/($R$13-$B$13)^2*(O$13-$B$13)^2+$T15))</f>
        <v>76.097227562048772</v>
      </c>
      <c r="P15" s="277">
        <f>IF(IF(P$13&lt;$B$13,$T15,($U15-$T15)/($R$13-$B$13)^2*(P$13-$B$13)^2+$T15)&gt;('Girder Property'!$B$107-'Girder Property'!$A$408)," ",IF(P$13&lt;$B$13,$T15,($U15-$T15)/($R$13-$B$13)^2*(P$13-$B$13)^2+$T15))</f>
        <v>81.864240249476694</v>
      </c>
      <c r="Q15" s="277">
        <f>IF(IF(Q$13&lt;$B$13,$T15,($U15-$T15)/($R$13-$B$13)^2*(Q$13-$B$13)^2+$T15)&gt;('Girder Property'!$B$107-'Girder Property'!$A$408)," ",IF(Q$13&lt;$B$13,$T15,($U15-$T15)/($R$13-$B$13)^2*(Q$13-$B$13)^2+$T15))</f>
        <v>88.058439061899264</v>
      </c>
      <c r="R15" s="277">
        <f>IF(IF(R$13&lt;$B$13,$T15,($U15-$T15)/($R$13-$B$13)^2*(R$13-$B$13)^2+$T15)&gt;('Girder Property'!$B$107-'Girder Property'!$A$408)," ",IF(R$13&lt;$B$13,$T15,($U15-$T15)/($R$13-$B$13)^2*(R$13-$B$13)^2+$T15))</f>
        <v>90</v>
      </c>
      <c r="S15" s="459"/>
      <c r="T15" s="80">
        <v>40</v>
      </c>
      <c r="U15" s="80">
        <f>U14+V15</f>
        <v>90</v>
      </c>
      <c r="V15" s="182">
        <v>60</v>
      </c>
    </row>
    <row r="16" spans="1:22" x14ac:dyDescent="0.2">
      <c r="A16" s="246">
        <v>3</v>
      </c>
      <c r="B16" s="277">
        <f>IF(IF(B$13&lt;$B$13,$T16,($U16-$T16)/($R$13-$B$13)^2*(B$13-$B$13)^2+$T16)&gt;('Girder Property'!$B$107-'Girder Property'!$A$408)," ",IF(B$13&lt;$B$13,$T16,($U16-$T16)/($R$13-$B$13)^2*(B$13-$B$13)^2+$T16))</f>
        <v>65</v>
      </c>
      <c r="C16" s="277">
        <f>IF(IF(C$13&lt;$B$13,$T16,($U16-$T16)/($R$13-$B$13)^2*(C$13-$B$13)^2+$T16)&gt;('Girder Property'!$B$107-'Girder Property'!$A$408)," ",IF(C$13&lt;$B$13,$T16,($U16-$T16)/($R$13-$B$13)^2*(C$13-$B$13)^2+$T16))</f>
        <v>65.363108206245457</v>
      </c>
      <c r="D16" s="277">
        <f>IF(IF(D$13&lt;$B$13,$T16,($U16-$T16)/($R$13-$B$13)^2*(D$13-$B$13)^2+$T16)&gt;('Girder Property'!$B$107-'Girder Property'!$A$408)," ",IF(D$13&lt;$B$13,$T16,($U16-$T16)/($R$13-$B$13)^2*(D$13-$B$13)^2+$T16))</f>
        <v>66.452432824981841</v>
      </c>
      <c r="E16" s="277">
        <f>IF(IF(E$13&lt;$B$13,$T16,($U16-$T16)/($R$13-$B$13)^2*(E$13-$B$13)^2+$T16)&gt;('Girder Property'!$B$107-'Girder Property'!$A$408)," ",IF(E$13&lt;$B$13,$T16,($U16-$T16)/($R$13-$B$13)^2*(E$13-$B$13)^2+$T16))</f>
        <v>68.267973856209153</v>
      </c>
      <c r="F16" s="277">
        <f>IF(IF(F$13&lt;$B$13,$T16,($U16-$T16)/($R$13-$B$13)^2*(F$13-$B$13)^2+$T16)&gt;('Girder Property'!$B$107-'Girder Property'!$A$408)," ",IF(F$13&lt;$B$13,$T16,($U16-$T16)/($R$13-$B$13)^2*(F$13-$B$13)^2+$T16))</f>
        <v>70.809731299927378</v>
      </c>
      <c r="G16" s="277">
        <f>IF(IF(G$13&lt;$B$13,$T16,($U16-$T16)/($R$13-$B$13)^2*(G$13-$B$13)^2+$T16)&gt;('Girder Property'!$B$107-'Girder Property'!$A$408)," ",IF(G$13&lt;$B$13,$T16,($U16-$T16)/($R$13-$B$13)^2*(G$13-$B$13)^2+$T16))</f>
        <v>74.077705156136531</v>
      </c>
      <c r="H16" s="277">
        <f>IF(IF(H$13&lt;$B$13,$T16,($U16-$T16)/($R$13-$B$13)^2*(H$13-$B$13)^2+$T16)&gt;('Girder Property'!$B$107-'Girder Property'!$A$408)," ",IF(H$13&lt;$B$13,$T16,($U16-$T16)/($R$13-$B$13)^2*(H$13-$B$13)^2+$T16))</f>
        <v>78.071895424836597</v>
      </c>
      <c r="I16" s="277">
        <f>IF(IF(I$13&lt;$B$13,$T16,($U16-$T16)/($R$13-$B$13)^2*(I$13-$B$13)^2+$T16)&gt;('Girder Property'!$B$107-'Girder Property'!$A$408)," ",IF(I$13&lt;$B$13,$T16,($U16-$T16)/($R$13-$B$13)^2*(I$13-$B$13)^2+$T16))</f>
        <v>82.792302106027591</v>
      </c>
      <c r="J16" s="277">
        <f>IF(IF(J$13&lt;$B$13,$T16,($U16-$T16)/($R$13-$B$13)^2*(J$13-$B$13)^2+$T16)&gt;('Girder Property'!$B$107-'Girder Property'!$A$408)," ",IF(J$13&lt;$B$13,$T16,($U16-$T16)/($R$13-$B$13)^2*(J$13-$B$13)^2+$T16))</f>
        <v>88.238925199709513</v>
      </c>
      <c r="K16" s="277">
        <f>IF(IF(K$13&lt;$B$13,$T16,($U16-$T16)/($R$13-$B$13)^2*(K$13-$B$13)^2+$T16)&gt;('Girder Property'!$B$107-'Girder Property'!$A$408)," ",IF(K$13&lt;$B$13,$T16,($U16-$T16)/($R$13-$B$13)^2*(K$13-$B$13)^2+$T16))</f>
        <v>94.411764705882348</v>
      </c>
      <c r="L16" s="277">
        <f>IF(IF(L$13&lt;$B$13,$T16,($U16-$T16)/($R$13-$B$13)^2*(L$13-$B$13)^2+$T16)&gt;('Girder Property'!$B$107-'Girder Property'!$A$408)," ",IF(L$13&lt;$B$13,$T16,($U16-$T16)/($R$13-$B$13)^2*(L$13-$B$13)^2+$T16))</f>
        <v>101.31082062454611</v>
      </c>
      <c r="M16" s="277">
        <f>IF(IF(M$13&lt;$B$13,$T16,($U16-$T16)/($R$13-$B$13)^2*(M$13-$B$13)^2+$T16)&gt;('Girder Property'!$B$107-'Girder Property'!$A$408)," ",IF(M$13&lt;$B$13,$T16,($U16-$T16)/($R$13-$B$13)^2*(M$13-$B$13)^2+$T16))</f>
        <v>108.93609295570079</v>
      </c>
      <c r="N16" s="277">
        <f>IF(IF(N$13&lt;$B$13,$T16,($U16-$T16)/($R$13-$B$13)^2*(N$13-$B$13)^2+$T16)&gt;('Girder Property'!$B$107-'Girder Property'!$A$408)," ",IF(N$13&lt;$B$13,$T16,($U16-$T16)/($R$13-$B$13)^2*(N$13-$B$13)^2+$T16))</f>
        <v>117.28758169934639</v>
      </c>
      <c r="O16" s="277">
        <f>IF(IF(O$13&lt;$B$13,$T16,($U16-$T16)/($R$13-$B$13)^2*(O$13-$B$13)^2+$T16)&gt;('Girder Property'!$B$107-'Girder Property'!$A$408)," ",IF(O$13&lt;$B$13,$T16,($U16-$T16)/($R$13-$B$13)^2*(O$13-$B$13)^2+$T16))</f>
        <v>126.36528685548292</v>
      </c>
      <c r="P16" s="277">
        <f>IF(IF(P$13&lt;$B$13,$T16,($U16-$T16)/($R$13-$B$13)^2*(P$13-$B$13)^2+$T16)&gt;('Girder Property'!$B$107-'Girder Property'!$A$408)," ",IF(P$13&lt;$B$13,$T16,($U16-$T16)/($R$13-$B$13)^2*(P$13-$B$13)^2+$T16))</f>
        <v>136.16920842411037</v>
      </c>
      <c r="Q16" s="277">
        <f>IF(IF(Q$13&lt;$B$13,$T16,($U16-$T16)/($R$13-$B$13)^2*(Q$13-$B$13)^2+$T16)&gt;('Girder Property'!$B$107-'Girder Property'!$A$408)," ",IF(Q$13&lt;$B$13,$T16,($U16-$T16)/($R$13-$B$13)^2*(Q$13-$B$13)^2+$T16))</f>
        <v>146.69934640522874</v>
      </c>
      <c r="R16" s="277">
        <f>IF(IF(R$13&lt;$B$13,$T16,($U16-$T16)/($R$13-$B$13)^2*(R$13-$B$13)^2+$T16)&gt;('Girder Property'!$B$107-'Girder Property'!$A$408)," ",IF(R$13&lt;$B$13,$T16,($U16-$T16)/($R$13-$B$13)^2*(R$13-$B$13)^2+$T16))</f>
        <v>150</v>
      </c>
      <c r="S16" s="459"/>
      <c r="T16" s="80">
        <v>65</v>
      </c>
      <c r="U16" s="80">
        <f>U15+V16</f>
        <v>150</v>
      </c>
      <c r="V16" s="182">
        <v>60</v>
      </c>
    </row>
    <row r="17" spans="1:22" x14ac:dyDescent="0.2">
      <c r="V17" s="278"/>
    </row>
    <row r="18" spans="1:22" x14ac:dyDescent="0.2">
      <c r="C18" s="68" t="s">
        <v>108</v>
      </c>
    </row>
    <row r="19" spans="1:22" x14ac:dyDescent="0.2">
      <c r="B19" s="460" t="s">
        <v>107</v>
      </c>
      <c r="C19" s="461"/>
      <c r="D19" s="461"/>
      <c r="E19" s="461"/>
      <c r="F19" s="461"/>
      <c r="G19" s="461"/>
      <c r="H19" s="461"/>
      <c r="I19" s="461"/>
      <c r="J19" s="461"/>
      <c r="K19" s="461"/>
      <c r="L19" s="461"/>
      <c r="M19" s="461"/>
      <c r="N19" s="461"/>
      <c r="O19" s="461"/>
      <c r="P19" s="461"/>
      <c r="Q19" s="461"/>
      <c r="R19" s="462"/>
    </row>
    <row r="20" spans="1:22" x14ac:dyDescent="0.2">
      <c r="A20" s="201" t="s">
        <v>60</v>
      </c>
      <c r="B20" s="279">
        <f t="shared" ref="B20:R20" si="0">B$13</f>
        <v>0</v>
      </c>
      <c r="C20" s="279">
        <f t="shared" si="0"/>
        <v>1</v>
      </c>
      <c r="D20" s="279">
        <f t="shared" si="0"/>
        <v>2</v>
      </c>
      <c r="E20" s="279">
        <f t="shared" si="0"/>
        <v>3</v>
      </c>
      <c r="F20" s="279">
        <f t="shared" si="0"/>
        <v>4</v>
      </c>
      <c r="G20" s="279">
        <f t="shared" si="0"/>
        <v>5</v>
      </c>
      <c r="H20" s="279">
        <f t="shared" si="0"/>
        <v>6</v>
      </c>
      <c r="I20" s="279">
        <f t="shared" si="0"/>
        <v>7</v>
      </c>
      <c r="J20" s="279">
        <f t="shared" si="0"/>
        <v>8</v>
      </c>
      <c r="K20" s="279">
        <f t="shared" si="0"/>
        <v>9</v>
      </c>
      <c r="L20" s="279">
        <f t="shared" si="0"/>
        <v>10</v>
      </c>
      <c r="M20" s="279">
        <f t="shared" si="0"/>
        <v>11</v>
      </c>
      <c r="N20" s="279">
        <f t="shared" si="0"/>
        <v>12</v>
      </c>
      <c r="O20" s="279">
        <f t="shared" si="0"/>
        <v>13</v>
      </c>
      <c r="P20" s="279">
        <f t="shared" si="0"/>
        <v>14</v>
      </c>
      <c r="Q20" s="279">
        <f t="shared" si="0"/>
        <v>15</v>
      </c>
      <c r="R20" s="233">
        <f t="shared" si="0"/>
        <v>15.3</v>
      </c>
      <c r="S20" s="463" t="s">
        <v>106</v>
      </c>
    </row>
    <row r="21" spans="1:22" x14ac:dyDescent="0.2">
      <c r="A21" s="246">
        <v>1</v>
      </c>
      <c r="B21" s="176">
        <f t="shared" ref="B21:K23" si="1">IF(VLOOKUP($A21,Cable,ROUNDUP(2+B$20,0),FALSE)=0," ",VLOOKUP($A21,Cable,ROUNDUP(2+B$20,0),FALSE))</f>
        <v>15</v>
      </c>
      <c r="C21" s="176">
        <f t="shared" si="1"/>
        <v>15.064077918749199</v>
      </c>
      <c r="D21" s="176">
        <f t="shared" si="1"/>
        <v>15.256311674996796</v>
      </c>
      <c r="E21" s="176">
        <f t="shared" si="1"/>
        <v>15.576701268742791</v>
      </c>
      <c r="F21" s="176">
        <f t="shared" si="1"/>
        <v>16.025246699987186</v>
      </c>
      <c r="G21" s="176">
        <f t="shared" si="1"/>
        <v>16.601947968729977</v>
      </c>
      <c r="H21" s="176">
        <f t="shared" si="1"/>
        <v>17.306805074971166</v>
      </c>
      <c r="I21" s="176">
        <f t="shared" si="1"/>
        <v>18.139818018710752</v>
      </c>
      <c r="J21" s="176">
        <f t="shared" si="1"/>
        <v>19.100986799948735</v>
      </c>
      <c r="K21" s="176">
        <f t="shared" si="1"/>
        <v>20.19031141868512</v>
      </c>
      <c r="L21" s="176">
        <f t="shared" ref="L21:R23" si="2">IF(VLOOKUP($A21,Cable,ROUNDUP(2+L$20,0),FALSE)=0," ",VLOOKUP($A21,Cable,ROUNDUP(2+L$20,0),FALSE))</f>
        <v>21.407791874919901</v>
      </c>
      <c r="M21" s="176">
        <f t="shared" si="2"/>
        <v>22.75342816865308</v>
      </c>
      <c r="N21" s="176">
        <f t="shared" si="2"/>
        <v>24.227220299884657</v>
      </c>
      <c r="O21" s="176">
        <f t="shared" si="2"/>
        <v>25.829168268614634</v>
      </c>
      <c r="P21" s="176">
        <f t="shared" si="2"/>
        <v>27.559272074843008</v>
      </c>
      <c r="Q21" s="176">
        <f t="shared" si="2"/>
        <v>29.41753171856978</v>
      </c>
      <c r="R21" s="176">
        <f t="shared" si="2"/>
        <v>30</v>
      </c>
      <c r="S21" s="464"/>
    </row>
    <row r="22" spans="1:22" x14ac:dyDescent="0.2">
      <c r="A22" s="246">
        <v>2</v>
      </c>
      <c r="B22" s="176">
        <f t="shared" si="1"/>
        <v>40</v>
      </c>
      <c r="C22" s="176">
        <f t="shared" si="1"/>
        <v>40.213593062497331</v>
      </c>
      <c r="D22" s="176">
        <f t="shared" si="1"/>
        <v>40.854372249989318</v>
      </c>
      <c r="E22" s="176">
        <f t="shared" si="1"/>
        <v>41.922337562475974</v>
      </c>
      <c r="F22" s="176">
        <f t="shared" si="1"/>
        <v>43.417488999957278</v>
      </c>
      <c r="G22" s="176">
        <f t="shared" si="1"/>
        <v>45.339826562433252</v>
      </c>
      <c r="H22" s="176">
        <f t="shared" si="1"/>
        <v>47.689350249903882</v>
      </c>
      <c r="I22" s="176">
        <f t="shared" si="1"/>
        <v>50.466060062369174</v>
      </c>
      <c r="J22" s="176">
        <f t="shared" si="1"/>
        <v>53.669955999829128</v>
      </c>
      <c r="K22" s="176">
        <f t="shared" si="1"/>
        <v>57.301038062283737</v>
      </c>
      <c r="L22" s="176">
        <f t="shared" si="2"/>
        <v>61.35930624973301</v>
      </c>
      <c r="M22" s="176">
        <f t="shared" si="2"/>
        <v>65.84476056217693</v>
      </c>
      <c r="N22" s="176">
        <f t="shared" si="2"/>
        <v>70.757400999615527</v>
      </c>
      <c r="O22" s="176">
        <f t="shared" si="2"/>
        <v>76.097227562048772</v>
      </c>
      <c r="P22" s="176">
        <f t="shared" si="2"/>
        <v>81.864240249476694</v>
      </c>
      <c r="Q22" s="176">
        <f t="shared" si="2"/>
        <v>88.058439061899264</v>
      </c>
      <c r="R22" s="176">
        <f t="shared" si="2"/>
        <v>90</v>
      </c>
      <c r="S22" s="464"/>
    </row>
    <row r="23" spans="1:22" x14ac:dyDescent="0.2">
      <c r="A23" s="246">
        <v>3</v>
      </c>
      <c r="B23" s="176">
        <f t="shared" si="1"/>
        <v>65</v>
      </c>
      <c r="C23" s="176">
        <f t="shared" si="1"/>
        <v>65.363108206245457</v>
      </c>
      <c r="D23" s="176">
        <f t="shared" si="1"/>
        <v>66.452432824981841</v>
      </c>
      <c r="E23" s="176">
        <f t="shared" si="1"/>
        <v>68.267973856209153</v>
      </c>
      <c r="F23" s="176">
        <f t="shared" si="1"/>
        <v>70.809731299927378</v>
      </c>
      <c r="G23" s="176">
        <f t="shared" si="1"/>
        <v>74.077705156136531</v>
      </c>
      <c r="H23" s="176">
        <f t="shared" si="1"/>
        <v>78.071895424836597</v>
      </c>
      <c r="I23" s="176">
        <f t="shared" si="1"/>
        <v>82.792302106027591</v>
      </c>
      <c r="J23" s="176">
        <f t="shared" si="1"/>
        <v>88.238925199709513</v>
      </c>
      <c r="K23" s="176">
        <f t="shared" si="1"/>
        <v>94.411764705882348</v>
      </c>
      <c r="L23" s="176">
        <f t="shared" si="2"/>
        <v>101.31082062454611</v>
      </c>
      <c r="M23" s="176">
        <f t="shared" si="2"/>
        <v>108.93609295570079</v>
      </c>
      <c r="N23" s="176">
        <f t="shared" si="2"/>
        <v>117.28758169934639</v>
      </c>
      <c r="O23" s="176">
        <f t="shared" si="2"/>
        <v>126.36528685548292</v>
      </c>
      <c r="P23" s="176">
        <f t="shared" si="2"/>
        <v>136.16920842411037</v>
      </c>
      <c r="Q23" s="176">
        <f t="shared" si="2"/>
        <v>146.69934640522874</v>
      </c>
      <c r="R23" s="176">
        <f t="shared" si="2"/>
        <v>150</v>
      </c>
      <c r="S23" s="464"/>
    </row>
    <row r="24" spans="1:22" x14ac:dyDescent="0.2">
      <c r="A24" s="280" t="s">
        <v>109</v>
      </c>
      <c r="B24" s="281">
        <f t="shared" ref="B24:R24" si="3">AVERAGE(B21:B23)</f>
        <v>40</v>
      </c>
      <c r="C24" s="281">
        <f t="shared" si="3"/>
        <v>40.213593062497331</v>
      </c>
      <c r="D24" s="281">
        <f t="shared" si="3"/>
        <v>40.854372249989318</v>
      </c>
      <c r="E24" s="281">
        <f t="shared" si="3"/>
        <v>41.922337562475974</v>
      </c>
      <c r="F24" s="281">
        <f t="shared" si="3"/>
        <v>43.417488999957278</v>
      </c>
      <c r="G24" s="281">
        <f t="shared" si="3"/>
        <v>45.339826562433252</v>
      </c>
      <c r="H24" s="281">
        <f t="shared" si="3"/>
        <v>47.689350249903875</v>
      </c>
      <c r="I24" s="281">
        <f t="shared" si="3"/>
        <v>50.466060062369174</v>
      </c>
      <c r="J24" s="281">
        <f t="shared" si="3"/>
        <v>53.669955999829121</v>
      </c>
      <c r="K24" s="281">
        <f t="shared" si="3"/>
        <v>57.301038062283737</v>
      </c>
      <c r="L24" s="281">
        <f t="shared" si="3"/>
        <v>61.359306249733002</v>
      </c>
      <c r="M24" s="281">
        <f t="shared" si="3"/>
        <v>65.84476056217693</v>
      </c>
      <c r="N24" s="281">
        <f t="shared" si="3"/>
        <v>70.757400999615527</v>
      </c>
      <c r="O24" s="281">
        <f t="shared" si="3"/>
        <v>76.097227562048772</v>
      </c>
      <c r="P24" s="281">
        <f t="shared" si="3"/>
        <v>81.86424024947668</v>
      </c>
      <c r="Q24" s="281">
        <f t="shared" si="3"/>
        <v>88.058439061899264</v>
      </c>
      <c r="R24" s="281">
        <f t="shared" si="3"/>
        <v>90</v>
      </c>
      <c r="S24" s="465"/>
    </row>
    <row r="25" spans="1:22" ht="21" customHeight="1" x14ac:dyDescent="0.2"/>
    <row r="27" spans="1:22" ht="11.3" thickBot="1" x14ac:dyDescent="0.25">
      <c r="C27" s="44" t="s">
        <v>533</v>
      </c>
    </row>
    <row r="28" spans="1:22" x14ac:dyDescent="0.2">
      <c r="A28" s="282" t="s">
        <v>534</v>
      </c>
      <c r="B28" s="283">
        <f t="shared" ref="B28:R28" si="4">B13</f>
        <v>0</v>
      </c>
      <c r="C28" s="283">
        <f t="shared" si="4"/>
        <v>1</v>
      </c>
      <c r="D28" s="283">
        <f t="shared" si="4"/>
        <v>2</v>
      </c>
      <c r="E28" s="283">
        <f t="shared" si="4"/>
        <v>3</v>
      </c>
      <c r="F28" s="283">
        <f t="shared" si="4"/>
        <v>4</v>
      </c>
      <c r="G28" s="283">
        <f t="shared" si="4"/>
        <v>5</v>
      </c>
      <c r="H28" s="283">
        <f t="shared" si="4"/>
        <v>6</v>
      </c>
      <c r="I28" s="283">
        <f t="shared" si="4"/>
        <v>7</v>
      </c>
      <c r="J28" s="283">
        <f t="shared" si="4"/>
        <v>8</v>
      </c>
      <c r="K28" s="283">
        <f t="shared" si="4"/>
        <v>9</v>
      </c>
      <c r="L28" s="283">
        <f t="shared" si="4"/>
        <v>10</v>
      </c>
      <c r="M28" s="283">
        <f t="shared" si="4"/>
        <v>11</v>
      </c>
      <c r="N28" s="283">
        <f t="shared" si="4"/>
        <v>12</v>
      </c>
      <c r="O28" s="283">
        <f t="shared" si="4"/>
        <v>13</v>
      </c>
      <c r="P28" s="283">
        <f t="shared" si="4"/>
        <v>14</v>
      </c>
      <c r="Q28" s="283">
        <f t="shared" si="4"/>
        <v>15</v>
      </c>
      <c r="R28" s="284">
        <f t="shared" si="4"/>
        <v>15.3</v>
      </c>
      <c r="S28" s="44" t="s">
        <v>19</v>
      </c>
    </row>
    <row r="29" spans="1:22" x14ac:dyDescent="0.2">
      <c r="A29" s="285">
        <f>A14</f>
        <v>1</v>
      </c>
      <c r="B29" s="172">
        <f>ATAN((HLOOKUP(C$28,Cable,2+$T29)-HLOOKUP(B$28,Cable,2+$T29))/((C$28-B$28)*100))</f>
        <v>6.4077909979113094E-4</v>
      </c>
      <c r="C29" s="286">
        <f t="shared" ref="C29:Q29" si="5">ATAN((HLOOKUP(D$28,Cable,2+$T29)-HLOOKUP(C$28,Cable,2+$T29))/((D$28-C$28)*100))+B29</f>
        <v>2.5631142943486731E-3</v>
      </c>
      <c r="D29" s="286">
        <f t="shared" si="5"/>
        <v>5.7669992692664851E-3</v>
      </c>
      <c r="E29" s="286">
        <f t="shared" si="5"/>
        <v>1.0252423500672654E-2</v>
      </c>
      <c r="F29" s="286">
        <f t="shared" si="5"/>
        <v>1.6019372255436828E-2</v>
      </c>
      <c r="G29" s="286">
        <f t="shared" si="5"/>
        <v>2.3067826591460616E-2</v>
      </c>
      <c r="H29" s="286">
        <f t="shared" si="5"/>
        <v>3.1397763358050869E-2</v>
      </c>
      <c r="I29" s="286">
        <f t="shared" si="5"/>
        <v>4.1009155196375859E-2</v>
      </c>
      <c r="J29" s="286">
        <f t="shared" si="5"/>
        <v>5.1901970540004422E-2</v>
      </c>
      <c r="K29" s="286">
        <f t="shared" si="5"/>
        <v>6.4076173615527796E-2</v>
      </c>
      <c r="L29" s="286">
        <f t="shared" si="5"/>
        <v>7.7531724443264532E-2</v>
      </c>
      <c r="M29" s="286">
        <f t="shared" si="5"/>
        <v>9.2268578838048051E-2</v>
      </c>
      <c r="N29" s="286">
        <f t="shared" si="5"/>
        <v>0.108286688410097</v>
      </c>
      <c r="O29" s="286">
        <f t="shared" si="5"/>
        <v>0.1255860005659683</v>
      </c>
      <c r="P29" s="286">
        <f t="shared" si="5"/>
        <v>0.14416645850959287</v>
      </c>
      <c r="Q29" s="286">
        <f t="shared" si="5"/>
        <v>0.16357962876811455</v>
      </c>
      <c r="R29" s="286">
        <f>Q29</f>
        <v>0.16357962876811455</v>
      </c>
      <c r="T29" s="80">
        <v>0</v>
      </c>
    </row>
    <row r="30" spans="1:22" x14ac:dyDescent="0.2">
      <c r="A30" s="285">
        <f>A15</f>
        <v>2</v>
      </c>
      <c r="B30" s="172">
        <f>ATAN((HLOOKUP(C$28,Cable,2+$T30)-HLOOKUP(B$28,Cable,2+$T30))/((C$28-B$28)*100))</f>
        <v>2.1359273768015645E-3</v>
      </c>
      <c r="C30" s="286">
        <f t="shared" ref="C30:Q30" si="6">ATAN((HLOOKUP(D$28,Cable,2+$T30)-HLOOKUP(C$28,Cable,2+$T30))/((D$28-C$28)*100))+B30</f>
        <v>8.5436315530047022E-3</v>
      </c>
      <c r="D30" s="286">
        <f t="shared" si="6"/>
        <v>1.9222878683074467E-2</v>
      </c>
      <c r="E30" s="286">
        <f t="shared" si="6"/>
        <v>3.4173279081340713E-2</v>
      </c>
      <c r="F30" s="286">
        <f t="shared" si="6"/>
        <v>5.339428730729899E-2</v>
      </c>
      <c r="G30" s="286">
        <f t="shared" si="6"/>
        <v>7.6885202284964621E-2</v>
      </c>
      <c r="H30" s="286">
        <f t="shared" si="6"/>
        <v>0.10464516745621749</v>
      </c>
      <c r="I30" s="286">
        <f t="shared" si="6"/>
        <v>0.1366731709680517</v>
      </c>
      <c r="J30" s="286">
        <f t="shared" si="6"/>
        <v>0.17296804589362882</v>
      </c>
      <c r="K30" s="286">
        <f t="shared" si="6"/>
        <v>0.21352847048701415</v>
      </c>
      <c r="L30" s="286">
        <f t="shared" si="6"/>
        <v>0.25835296847145639</v>
      </c>
      <c r="M30" s="286">
        <f t="shared" si="6"/>
        <v>0.30743990936105547</v>
      </c>
      <c r="N30" s="286">
        <f t="shared" si="6"/>
        <v>0.36078750881564076</v>
      </c>
      <c r="O30" s="286">
        <f t="shared" si="6"/>
        <v>0.41839382902867134</v>
      </c>
      <c r="P30" s="286">
        <f t="shared" si="6"/>
        <v>0.48025677914794346</v>
      </c>
      <c r="Q30" s="286">
        <f t="shared" si="6"/>
        <v>0.54488534518591158</v>
      </c>
      <c r="R30" s="286">
        <f t="shared" ref="R30:R31" si="7">Q30</f>
        <v>0.54488534518591158</v>
      </c>
      <c r="T30" s="80">
        <v>1</v>
      </c>
    </row>
    <row r="31" spans="1:22" x14ac:dyDescent="0.2">
      <c r="A31" s="285">
        <f>A16</f>
        <v>3</v>
      </c>
      <c r="B31" s="172">
        <f>ATAN((HLOOKUP(C$28,Cable,2+$T31)-HLOOKUP(B$28,Cable,2+$T31))/((C$28-B$28)*100))</f>
        <v>6.4077909979113094E-4</v>
      </c>
      <c r="C31" s="286">
        <f t="shared" ref="C31:Q31" si="8">ATAN((HLOOKUP(D$28,Cable,2+$T31)-HLOOKUP(C$28,Cable,2+$T31))/((D$28-C$28)*100))+B31</f>
        <v>2.5631142943486731E-3</v>
      </c>
      <c r="D31" s="286">
        <f t="shared" si="8"/>
        <v>5.7669992692664851E-3</v>
      </c>
      <c r="E31" s="286">
        <f t="shared" si="8"/>
        <v>1.0252423500672654E-2</v>
      </c>
      <c r="F31" s="286">
        <f t="shared" si="8"/>
        <v>1.6019372255436828E-2</v>
      </c>
      <c r="G31" s="286">
        <f t="shared" si="8"/>
        <v>2.3067826591460616E-2</v>
      </c>
      <c r="H31" s="286">
        <f t="shared" si="8"/>
        <v>3.1397763358050869E-2</v>
      </c>
      <c r="I31" s="286">
        <f t="shared" si="8"/>
        <v>4.1009155196375859E-2</v>
      </c>
      <c r="J31" s="286">
        <f t="shared" si="8"/>
        <v>5.1901970540004422E-2</v>
      </c>
      <c r="K31" s="286">
        <f t="shared" si="8"/>
        <v>6.4076173615527796E-2</v>
      </c>
      <c r="L31" s="286">
        <f t="shared" si="8"/>
        <v>7.7531724443264532E-2</v>
      </c>
      <c r="M31" s="286">
        <f t="shared" si="8"/>
        <v>9.2268578838048051E-2</v>
      </c>
      <c r="N31" s="286">
        <f t="shared" si="8"/>
        <v>0.108286688410097</v>
      </c>
      <c r="O31" s="286">
        <f t="shared" si="8"/>
        <v>0.1255860005659683</v>
      </c>
      <c r="P31" s="286">
        <f t="shared" si="8"/>
        <v>0.14416645850959287</v>
      </c>
      <c r="Q31" s="286">
        <f t="shared" si="8"/>
        <v>0.16357962876811455</v>
      </c>
      <c r="R31" s="286">
        <f t="shared" si="7"/>
        <v>0.16357962876811455</v>
      </c>
      <c r="T31" s="80"/>
    </row>
  </sheetData>
  <mergeCells count="4">
    <mergeCell ref="B12:R12"/>
    <mergeCell ref="S14:S16"/>
    <mergeCell ref="B19:R19"/>
    <mergeCell ref="S20:S24"/>
  </mergeCells>
  <pageMargins left="1" right="0" top="1" bottom="0.5" header="0.5" footer="0.25"/>
  <pageSetup paperSize="9" scale="78" orientation="landscape" r:id="rId1"/>
  <headerFooter alignWithMargins="0">
    <oddFooter>&amp;C &amp;P / &amp;N</oddFooter>
  </headerFooter>
  <rowBreaks count="1" manualBreakCount="1">
    <brk id="17" max="17"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C00000"/>
  </sheetPr>
  <dimension ref="A2:AV43"/>
  <sheetViews>
    <sheetView topLeftCell="A31" workbookViewId="0">
      <selection activeCell="E37" sqref="A1:XFD1048576"/>
    </sheetView>
  </sheetViews>
  <sheetFormatPr defaultColWidth="9.109375" defaultRowHeight="10.65" x14ac:dyDescent="0.2"/>
  <cols>
    <col min="1" max="3" width="9.109375" style="44"/>
    <col min="4" max="4" width="11" style="44" bestFit="1" customWidth="1"/>
    <col min="5" max="5" width="9.109375" style="44"/>
    <col min="6" max="6" width="12.44140625" style="44" bestFit="1" customWidth="1"/>
    <col min="7" max="7" width="10.5546875" style="44" customWidth="1"/>
    <col min="8" max="10" width="9.109375" style="44"/>
    <col min="11" max="11" width="10" style="44" bestFit="1" customWidth="1"/>
    <col min="12" max="16" width="10" style="44" customWidth="1"/>
    <col min="17" max="17" width="9.5546875" style="44" bestFit="1" customWidth="1"/>
    <col min="18" max="21" width="9.5546875" style="44" customWidth="1"/>
    <col min="22" max="22" width="9.5546875" style="44" bestFit="1" customWidth="1"/>
    <col min="23" max="16384" width="9.109375" style="44"/>
  </cols>
  <sheetData>
    <row r="2" spans="2:47" x14ac:dyDescent="0.2">
      <c r="B2" s="44" t="s">
        <v>471</v>
      </c>
      <c r="C2" s="44" t="s">
        <v>24</v>
      </c>
      <c r="D2" s="44" t="s">
        <v>478</v>
      </c>
      <c r="G2" s="217">
        <f>(G4-G6*G5)/(G8-G6*G9)*1000000</f>
        <v>226666666.66666666</v>
      </c>
      <c r="H2" s="44" t="s">
        <v>477</v>
      </c>
    </row>
    <row r="3" spans="2:47" x14ac:dyDescent="0.2">
      <c r="B3" s="44" t="s">
        <v>476</v>
      </c>
      <c r="C3" s="44" t="s">
        <v>24</v>
      </c>
      <c r="G3" s="44">
        <f>SQRT(6*G2/1000)</f>
        <v>1166.19037896906</v>
      </c>
      <c r="H3" s="44" t="s">
        <v>42</v>
      </c>
    </row>
    <row r="4" spans="2:47" x14ac:dyDescent="0.2">
      <c r="B4" s="44" t="s">
        <v>74</v>
      </c>
      <c r="G4" s="44">
        <v>8000</v>
      </c>
      <c r="H4" s="44" t="s">
        <v>23</v>
      </c>
    </row>
    <row r="5" spans="2:47" x14ac:dyDescent="0.2">
      <c r="B5" s="44" t="s">
        <v>523</v>
      </c>
      <c r="G5" s="44">
        <v>5000</v>
      </c>
      <c r="H5" s="44" t="s">
        <v>23</v>
      </c>
    </row>
    <row r="6" spans="2:47" x14ac:dyDescent="0.2">
      <c r="B6" s="44" t="s">
        <v>433</v>
      </c>
      <c r="G6" s="44">
        <v>0.75</v>
      </c>
    </row>
    <row r="7" spans="2:47" x14ac:dyDescent="0.2">
      <c r="B7" s="44" t="s">
        <v>474</v>
      </c>
      <c r="G7" s="44">
        <f>'Girder Property'!I57/10</f>
        <v>2.5</v>
      </c>
      <c r="H7" s="44" t="s">
        <v>165</v>
      </c>
    </row>
    <row r="8" spans="2:47" x14ac:dyDescent="0.2">
      <c r="B8" s="44" t="s">
        <v>472</v>
      </c>
      <c r="G8" s="44">
        <f>'Girder Property'!I61/10</f>
        <v>0</v>
      </c>
      <c r="H8" s="44" t="s">
        <v>165</v>
      </c>
    </row>
    <row r="9" spans="2:47" x14ac:dyDescent="0.2">
      <c r="B9" s="44" t="s">
        <v>473</v>
      </c>
      <c r="G9" s="44">
        <f>-'Girder Property'!I56/10</f>
        <v>-25</v>
      </c>
      <c r="H9" s="44" t="s">
        <v>165</v>
      </c>
    </row>
    <row r="10" spans="2:47" x14ac:dyDescent="0.2">
      <c r="B10" s="44" t="s">
        <v>475</v>
      </c>
      <c r="G10" s="44">
        <f>-'Girder Property'!I60/10</f>
        <v>-16.5</v>
      </c>
      <c r="H10" s="44" t="s">
        <v>165</v>
      </c>
    </row>
    <row r="11" spans="2:47" x14ac:dyDescent="0.2">
      <c r="B11" s="44" t="s">
        <v>2</v>
      </c>
      <c r="G11" s="44">
        <f>'Girder Property'!I132*100</f>
        <v>760000</v>
      </c>
      <c r="H11" s="44" t="s">
        <v>275</v>
      </c>
    </row>
    <row r="12" spans="2:47" x14ac:dyDescent="0.2">
      <c r="B12" s="44" t="s">
        <v>49</v>
      </c>
      <c r="G12" s="217">
        <f>'Girder Property'!I135*10000</f>
        <v>272085964912.28067</v>
      </c>
      <c r="H12" s="44" t="s">
        <v>269</v>
      </c>
    </row>
    <row r="13" spans="2:47" x14ac:dyDescent="0.2">
      <c r="B13" s="44" t="s">
        <v>485</v>
      </c>
      <c r="G13" s="217">
        <f>'Girder Property'!I134*10</f>
        <v>867.1052631578948</v>
      </c>
      <c r="H13" s="44" t="s">
        <v>42</v>
      </c>
    </row>
    <row r="14" spans="2:47" x14ac:dyDescent="0.2">
      <c r="B14" s="44" t="s">
        <v>515</v>
      </c>
      <c r="G14" s="217">
        <f>'Girder Property'!I141*1000</f>
        <v>291657733.8975082</v>
      </c>
      <c r="H14" s="44" t="s">
        <v>272</v>
      </c>
    </row>
    <row r="15" spans="2:47" x14ac:dyDescent="0.2">
      <c r="B15" s="44" t="s">
        <v>516</v>
      </c>
      <c r="G15" s="217">
        <f>'Girder Property'!I140*1000</f>
        <v>313786545.270612</v>
      </c>
      <c r="H15" s="44" t="s">
        <v>272</v>
      </c>
      <c r="K15" s="44">
        <v>100</v>
      </c>
    </row>
    <row r="16" spans="2:47" x14ac:dyDescent="0.2">
      <c r="B16" s="44" t="s">
        <v>479</v>
      </c>
      <c r="C16" s="44" t="s">
        <v>517</v>
      </c>
      <c r="G16" s="44">
        <f>G11/G14</f>
        <v>2.6057940924243501E-3</v>
      </c>
      <c r="H16" s="44" t="s">
        <v>492</v>
      </c>
      <c r="K16" s="44">
        <v>7</v>
      </c>
      <c r="L16" s="44">
        <v>6</v>
      </c>
      <c r="M16" s="44">
        <v>5</v>
      </c>
      <c r="N16" s="44">
        <v>4</v>
      </c>
      <c r="O16" s="44">
        <v>3</v>
      </c>
      <c r="P16" s="44">
        <v>2</v>
      </c>
      <c r="Q16" s="44">
        <v>1</v>
      </c>
      <c r="R16" s="44">
        <v>0</v>
      </c>
      <c r="S16" s="44">
        <v>1</v>
      </c>
      <c r="T16" s="44">
        <v>2</v>
      </c>
      <c r="U16" s="44">
        <v>3</v>
      </c>
      <c r="V16" s="44">
        <v>4</v>
      </c>
      <c r="W16" s="44">
        <v>5</v>
      </c>
      <c r="X16" s="44">
        <v>6</v>
      </c>
      <c r="Y16" s="44">
        <v>7</v>
      </c>
      <c r="Z16" s="44">
        <v>8</v>
      </c>
      <c r="AA16" s="44">
        <v>9</v>
      </c>
      <c r="AB16" s="44">
        <v>10</v>
      </c>
      <c r="AC16" s="44">
        <v>11</v>
      </c>
      <c r="AD16" s="44">
        <v>12</v>
      </c>
      <c r="AE16" s="44">
        <v>13</v>
      </c>
      <c r="AF16" s="44">
        <v>14</v>
      </c>
      <c r="AG16" s="44">
        <v>15</v>
      </c>
      <c r="AH16" s="44">
        <v>16</v>
      </c>
      <c r="AI16" s="44">
        <v>17</v>
      </c>
      <c r="AJ16" s="44">
        <v>18</v>
      </c>
      <c r="AK16" s="44">
        <v>19</v>
      </c>
      <c r="AL16" s="44">
        <v>20</v>
      </c>
      <c r="AM16" s="44">
        <v>21</v>
      </c>
      <c r="AN16" s="44">
        <v>22</v>
      </c>
      <c r="AO16" s="44">
        <v>23</v>
      </c>
      <c r="AP16" s="44">
        <v>24</v>
      </c>
      <c r="AQ16" s="44">
        <v>25</v>
      </c>
      <c r="AR16" s="44">
        <v>26</v>
      </c>
      <c r="AS16" s="44">
        <v>27</v>
      </c>
      <c r="AT16" s="44">
        <v>28</v>
      </c>
      <c r="AU16" s="44">
        <v>29</v>
      </c>
    </row>
    <row r="17" spans="1:48" x14ac:dyDescent="0.2">
      <c r="B17" s="44" t="s">
        <v>480</v>
      </c>
      <c r="C17" s="44" t="s">
        <v>518</v>
      </c>
      <c r="G17" s="44">
        <f>G11/G15</f>
        <v>2.4220286416186836E-3</v>
      </c>
      <c r="H17" s="44" t="s">
        <v>492</v>
      </c>
      <c r="K17" s="44">
        <v>-1</v>
      </c>
      <c r="L17" s="44">
        <v>-1</v>
      </c>
      <c r="M17" s="44">
        <v>-1</v>
      </c>
      <c r="N17" s="44">
        <v>-1</v>
      </c>
      <c r="O17" s="44">
        <v>-1</v>
      </c>
      <c r="P17" s="44">
        <v>-1</v>
      </c>
      <c r="Q17" s="44">
        <v>-1</v>
      </c>
      <c r="R17" s="44">
        <v>0</v>
      </c>
      <c r="S17" s="44">
        <v>1</v>
      </c>
      <c r="T17" s="44">
        <v>1</v>
      </c>
      <c r="U17" s="44">
        <v>1</v>
      </c>
      <c r="V17" s="44">
        <v>1</v>
      </c>
      <c r="W17" s="44">
        <v>1</v>
      </c>
      <c r="X17" s="44">
        <v>1</v>
      </c>
      <c r="Y17" s="44">
        <v>1</v>
      </c>
      <c r="Z17" s="44">
        <v>1</v>
      </c>
      <c r="AA17" s="44">
        <v>1</v>
      </c>
      <c r="AB17" s="44">
        <v>1</v>
      </c>
      <c r="AC17" s="44">
        <v>1</v>
      </c>
      <c r="AD17" s="44">
        <v>1</v>
      </c>
      <c r="AE17" s="44">
        <v>1</v>
      </c>
      <c r="AF17" s="44">
        <v>1</v>
      </c>
      <c r="AG17" s="44">
        <v>1</v>
      </c>
      <c r="AH17" s="44">
        <v>1</v>
      </c>
      <c r="AI17" s="44">
        <v>1</v>
      </c>
      <c r="AJ17" s="44">
        <v>1</v>
      </c>
      <c r="AK17" s="44">
        <v>1</v>
      </c>
      <c r="AL17" s="44">
        <v>1</v>
      </c>
      <c r="AM17" s="44">
        <v>1</v>
      </c>
      <c r="AN17" s="44">
        <v>1</v>
      </c>
      <c r="AO17" s="44">
        <v>1</v>
      </c>
      <c r="AP17" s="44">
        <v>1</v>
      </c>
      <c r="AQ17" s="44">
        <v>1</v>
      </c>
      <c r="AR17" s="44">
        <v>1</v>
      </c>
      <c r="AS17" s="44">
        <v>1</v>
      </c>
      <c r="AT17" s="44">
        <v>1</v>
      </c>
      <c r="AU17" s="44">
        <v>1</v>
      </c>
    </row>
    <row r="18" spans="1:48" x14ac:dyDescent="0.2">
      <c r="B18" s="44" t="s">
        <v>484</v>
      </c>
      <c r="J18" s="44" t="s">
        <v>228</v>
      </c>
      <c r="K18" s="44">
        <f>$K$15*K16*K17</f>
        <v>-700</v>
      </c>
      <c r="L18" s="44">
        <f t="shared" ref="L18:P18" si="0">$K$15*L16*L17</f>
        <v>-600</v>
      </c>
      <c r="M18" s="44">
        <f t="shared" si="0"/>
        <v>-500</v>
      </c>
      <c r="N18" s="44">
        <f t="shared" si="0"/>
        <v>-400</v>
      </c>
      <c r="O18" s="44">
        <f t="shared" si="0"/>
        <v>-300</v>
      </c>
      <c r="P18" s="44">
        <f t="shared" si="0"/>
        <v>-200</v>
      </c>
      <c r="Q18" s="44">
        <f t="shared" ref="Q18:V18" si="1">$K$15*Q16*Q17</f>
        <v>-100</v>
      </c>
      <c r="R18" s="44">
        <f t="shared" si="1"/>
        <v>0</v>
      </c>
      <c r="S18" s="44">
        <f t="shared" si="1"/>
        <v>100</v>
      </c>
      <c r="T18" s="44">
        <f t="shared" si="1"/>
        <v>200</v>
      </c>
      <c r="U18" s="44">
        <f t="shared" si="1"/>
        <v>300</v>
      </c>
      <c r="V18" s="44">
        <f t="shared" si="1"/>
        <v>400</v>
      </c>
      <c r="W18" s="44">
        <f t="shared" ref="W18" si="2">$K$15*W16*W17</f>
        <v>500</v>
      </c>
      <c r="X18" s="44">
        <f t="shared" ref="X18" si="3">$K$15*X16*X17</f>
        <v>600</v>
      </c>
      <c r="Y18" s="44">
        <f t="shared" ref="Y18" si="4">$K$15*Y16*Y17</f>
        <v>700</v>
      </c>
      <c r="Z18" s="44">
        <f>$K$15*Z16*Z17</f>
        <v>800</v>
      </c>
      <c r="AA18" s="44">
        <f t="shared" ref="AA18" si="5">$K$15*AA16*AA17</f>
        <v>900</v>
      </c>
      <c r="AB18" s="44">
        <f t="shared" ref="AB18" si="6">$K$15*AB16*AB17</f>
        <v>1000</v>
      </c>
      <c r="AC18" s="44">
        <f t="shared" ref="AC18" si="7">$K$15*AC16*AC17</f>
        <v>1100</v>
      </c>
      <c r="AD18" s="44">
        <f t="shared" ref="AD18" si="8">$K$15*AD16*AD17</f>
        <v>1200</v>
      </c>
      <c r="AE18" s="44">
        <f t="shared" ref="AE18" si="9">$K$15*AE16*AE17</f>
        <v>1300</v>
      </c>
      <c r="AF18" s="44">
        <f t="shared" ref="AF18" si="10">$K$15*AF16*AF17</f>
        <v>1400</v>
      </c>
      <c r="AG18" s="44">
        <f t="shared" ref="AG18" si="11">$K$15*AG16*AG17</f>
        <v>1500</v>
      </c>
      <c r="AH18" s="44">
        <f t="shared" ref="AH18" si="12">$K$15*AH16*AH17</f>
        <v>1600</v>
      </c>
      <c r="AI18" s="44">
        <f t="shared" ref="AI18" si="13">$K$15*AI16*AI17</f>
        <v>1700</v>
      </c>
      <c r="AJ18" s="44">
        <f t="shared" ref="AJ18" si="14">$K$15*AJ16*AJ17</f>
        <v>1800</v>
      </c>
      <c r="AK18" s="44">
        <f t="shared" ref="AK18" si="15">$K$15*AK16*AK17</f>
        <v>1900</v>
      </c>
      <c r="AL18" s="44">
        <f t="shared" ref="AL18" si="16">$K$15*AL16*AL17</f>
        <v>2000</v>
      </c>
      <c r="AM18" s="44">
        <f t="shared" ref="AM18" si="17">$K$15*AM16*AM17</f>
        <v>2100</v>
      </c>
      <c r="AN18" s="44">
        <f t="shared" ref="AN18" si="18">$K$15*AN16*AN17</f>
        <v>2200</v>
      </c>
      <c r="AO18" s="44">
        <f t="shared" ref="AO18" si="19">$K$15*AO16*AO17</f>
        <v>2300</v>
      </c>
      <c r="AP18" s="44">
        <f t="shared" ref="AP18" si="20">$K$15*AP16*AP17</f>
        <v>2400</v>
      </c>
      <c r="AQ18" s="44">
        <f t="shared" ref="AQ18" si="21">$K$15*AQ16*AQ17</f>
        <v>2500</v>
      </c>
      <c r="AR18" s="44">
        <f t="shared" ref="AR18" si="22">$K$15*AR16*AR17</f>
        <v>2600</v>
      </c>
      <c r="AS18" s="44">
        <f t="shared" ref="AS18" si="23">$K$15*AS16*AS17</f>
        <v>2700</v>
      </c>
      <c r="AT18" s="44">
        <f t="shared" ref="AT18" si="24">$K$15*AT16*AT17</f>
        <v>2800</v>
      </c>
      <c r="AU18" s="44">
        <f t="shared" ref="AU18" si="25">$K$15*AU16*AU17</f>
        <v>2900</v>
      </c>
    </row>
    <row r="19" spans="1:48" x14ac:dyDescent="0.2">
      <c r="A19" s="44">
        <v>3.5</v>
      </c>
      <c r="B19" s="44" t="s">
        <v>519</v>
      </c>
      <c r="F19" s="44">
        <f>G16</f>
        <v>2.6057940924243501E-3</v>
      </c>
      <c r="G19" s="217">
        <f>1/(G11*G7+G16*G5*1000000)</f>
        <v>6.6983855486701601E-8</v>
      </c>
      <c r="I19" s="44" t="s">
        <v>483</v>
      </c>
      <c r="J19" s="44" t="s">
        <v>482</v>
      </c>
      <c r="K19" s="217">
        <f t="shared" ref="K19:AU19" si="26">($F19*K$18-1)*($G19)</f>
        <v>-1.89166149927239E-7</v>
      </c>
      <c r="L19" s="217">
        <f t="shared" si="26"/>
        <v>-1.7171153643573366E-7</v>
      </c>
      <c r="M19" s="217">
        <f t="shared" si="26"/>
        <v>-1.5425692294422832E-7</v>
      </c>
      <c r="N19" s="217">
        <f t="shared" si="26"/>
        <v>-1.3680230945272296E-7</v>
      </c>
      <c r="O19" s="217">
        <f t="shared" si="26"/>
        <v>-1.1934769596121762E-7</v>
      </c>
      <c r="P19" s="217">
        <f t="shared" si="26"/>
        <v>-1.0189308246971228E-7</v>
      </c>
      <c r="Q19" s="217">
        <f t="shared" si="26"/>
        <v>-8.443846897820694E-8</v>
      </c>
      <c r="R19" s="217">
        <f t="shared" si="26"/>
        <v>-6.6983855486701601E-8</v>
      </c>
      <c r="S19" s="217">
        <f t="shared" si="26"/>
        <v>-4.9529241995196262E-8</v>
      </c>
      <c r="T19" s="217">
        <f t="shared" si="26"/>
        <v>-3.2074628503690916E-8</v>
      </c>
      <c r="U19" s="217">
        <f t="shared" si="26"/>
        <v>-1.4620015012185573E-8</v>
      </c>
      <c r="V19" s="217">
        <f t="shared" si="26"/>
        <v>2.8345984793197655E-9</v>
      </c>
      <c r="W19" s="217">
        <f t="shared" si="26"/>
        <v>2.0289211970825104E-8</v>
      </c>
      <c r="X19" s="217">
        <f t="shared" si="26"/>
        <v>3.7743825462330459E-8</v>
      </c>
      <c r="Y19" s="217">
        <f t="shared" si="26"/>
        <v>5.5198438953835791E-8</v>
      </c>
      <c r="Z19" s="217">
        <f t="shared" si="26"/>
        <v>7.2653052445341137E-8</v>
      </c>
      <c r="AA19" s="217">
        <f t="shared" si="26"/>
        <v>9.0107665936846475E-8</v>
      </c>
      <c r="AB19" s="217">
        <f t="shared" si="26"/>
        <v>1.075622794283518E-7</v>
      </c>
      <c r="AC19" s="217">
        <f t="shared" si="26"/>
        <v>1.2501689291985718E-7</v>
      </c>
      <c r="AD19" s="217">
        <f t="shared" si="26"/>
        <v>1.4247150641136252E-7</v>
      </c>
      <c r="AE19" s="217">
        <f t="shared" si="26"/>
        <v>1.5992611990286786E-7</v>
      </c>
      <c r="AF19" s="217">
        <f t="shared" si="26"/>
        <v>1.773807333943732E-7</v>
      </c>
      <c r="AG19" s="217">
        <f t="shared" si="26"/>
        <v>1.9483534688587854E-7</v>
      </c>
      <c r="AH19" s="217">
        <f t="shared" si="26"/>
        <v>2.1228996037738387E-7</v>
      </c>
      <c r="AI19" s="217">
        <f t="shared" si="26"/>
        <v>2.2974457386888924E-7</v>
      </c>
      <c r="AJ19" s="217">
        <f t="shared" si="26"/>
        <v>2.4719918736039453E-7</v>
      </c>
      <c r="AK19" s="217">
        <f t="shared" si="26"/>
        <v>2.6465380085189989E-7</v>
      </c>
      <c r="AL19" s="217">
        <f t="shared" si="26"/>
        <v>2.821084143434052E-7</v>
      </c>
      <c r="AM19" s="217">
        <f t="shared" si="26"/>
        <v>2.9956302783491057E-7</v>
      </c>
      <c r="AN19" s="217">
        <f t="shared" si="26"/>
        <v>3.1701764132641593E-7</v>
      </c>
      <c r="AO19" s="217">
        <f t="shared" si="26"/>
        <v>3.3447225481792125E-7</v>
      </c>
      <c r="AP19" s="217">
        <f t="shared" si="26"/>
        <v>3.5192686830942661E-7</v>
      </c>
      <c r="AQ19" s="217">
        <f t="shared" si="26"/>
        <v>3.6938148180093192E-7</v>
      </c>
      <c r="AR19" s="217">
        <f t="shared" si="26"/>
        <v>3.8683609529243729E-7</v>
      </c>
      <c r="AS19" s="217">
        <f t="shared" si="26"/>
        <v>4.0429070878394265E-7</v>
      </c>
      <c r="AT19" s="217">
        <f t="shared" si="26"/>
        <v>4.2174532227544797E-7</v>
      </c>
      <c r="AU19" s="217">
        <f t="shared" si="26"/>
        <v>4.3919993576695333E-7</v>
      </c>
      <c r="AV19" s="44">
        <v>3.5</v>
      </c>
    </row>
    <row r="20" spans="1:48" x14ac:dyDescent="0.2">
      <c r="A20" s="44">
        <v>3.6</v>
      </c>
      <c r="B20" s="44" t="s">
        <v>520</v>
      </c>
      <c r="F20" s="44">
        <f>G17</f>
        <v>2.4220286416186836E-3</v>
      </c>
      <c r="G20" s="217">
        <f>1/(-G11*G9+G17*G5*1000000)</f>
        <v>3.2143857175811592E-8</v>
      </c>
      <c r="I20" s="44" t="s">
        <v>483</v>
      </c>
      <c r="J20" s="44" t="s">
        <v>482</v>
      </c>
      <c r="K20" s="217">
        <f t="shared" ref="K20:AU20" si="27">($F20*K$18+1)*($G20)</f>
        <v>-2.2353482736529558E-8</v>
      </c>
      <c r="L20" s="217">
        <f t="shared" si="27"/>
        <v>-1.4568148463337962E-8</v>
      </c>
      <c r="M20" s="217">
        <f t="shared" si="27"/>
        <v>-6.7828141901463704E-9</v>
      </c>
      <c r="N20" s="217">
        <f t="shared" si="27"/>
        <v>1.0025200830452205E-9</v>
      </c>
      <c r="O20" s="217">
        <f t="shared" si="27"/>
        <v>8.7878543562368158E-9</v>
      </c>
      <c r="P20" s="217">
        <f t="shared" si="27"/>
        <v>1.6573188629428406E-8</v>
      </c>
      <c r="Q20" s="217">
        <f t="shared" si="27"/>
        <v>2.435852290262E-8</v>
      </c>
      <c r="R20" s="217">
        <f t="shared" si="27"/>
        <v>3.2143857175811592E-8</v>
      </c>
      <c r="S20" s="217">
        <f t="shared" si="27"/>
        <v>3.9929191449003183E-8</v>
      </c>
      <c r="T20" s="217">
        <f t="shared" si="27"/>
        <v>4.7714525722194775E-8</v>
      </c>
      <c r="U20" s="217">
        <f t="shared" si="27"/>
        <v>5.5499859995386373E-8</v>
      </c>
      <c r="V20" s="217">
        <f t="shared" si="27"/>
        <v>6.3285194268577964E-8</v>
      </c>
      <c r="W20" s="217">
        <f t="shared" si="27"/>
        <v>7.1070528541769549E-8</v>
      </c>
      <c r="X20" s="217">
        <f t="shared" si="27"/>
        <v>7.8855862814961147E-8</v>
      </c>
      <c r="Y20" s="217">
        <f t="shared" si="27"/>
        <v>8.6641197088152732E-8</v>
      </c>
      <c r="Z20" s="217">
        <f t="shared" si="27"/>
        <v>9.442653136134433E-8</v>
      </c>
      <c r="AA20" s="217">
        <f t="shared" si="27"/>
        <v>1.0221186563453593E-7</v>
      </c>
      <c r="AB20" s="217">
        <f t="shared" si="27"/>
        <v>1.0999719990772751E-7</v>
      </c>
      <c r="AC20" s="217">
        <f t="shared" si="27"/>
        <v>1.1778253418091911E-7</v>
      </c>
      <c r="AD20" s="217">
        <f t="shared" si="27"/>
        <v>1.255678684541107E-7</v>
      </c>
      <c r="AE20" s="217">
        <f t="shared" si="27"/>
        <v>1.3335320272730231E-7</v>
      </c>
      <c r="AF20" s="217">
        <f t="shared" si="27"/>
        <v>1.4113853700049389E-7</v>
      </c>
      <c r="AG20" s="217">
        <f t="shared" si="27"/>
        <v>1.4892387127368548E-7</v>
      </c>
      <c r="AH20" s="217">
        <f t="shared" si="27"/>
        <v>1.5670920554687709E-7</v>
      </c>
      <c r="AI20" s="217">
        <f t="shared" si="27"/>
        <v>1.6449453982006867E-7</v>
      </c>
      <c r="AJ20" s="217">
        <f t="shared" si="27"/>
        <v>1.7227987409326028E-7</v>
      </c>
      <c r="AK20" s="217">
        <f t="shared" si="27"/>
        <v>1.8006520836645187E-7</v>
      </c>
      <c r="AL20" s="217">
        <f t="shared" si="27"/>
        <v>1.8785054263964345E-7</v>
      </c>
      <c r="AM20" s="217">
        <f t="shared" si="27"/>
        <v>1.9563587691283501E-7</v>
      </c>
      <c r="AN20" s="217">
        <f t="shared" si="27"/>
        <v>2.0342121118602665E-7</v>
      </c>
      <c r="AO20" s="217">
        <f t="shared" si="27"/>
        <v>2.1120654545921821E-7</v>
      </c>
      <c r="AP20" s="217">
        <f t="shared" si="27"/>
        <v>2.1899187973240979E-7</v>
      </c>
      <c r="AQ20" s="217">
        <f t="shared" si="27"/>
        <v>2.2677721400560143E-7</v>
      </c>
      <c r="AR20" s="217">
        <f t="shared" si="27"/>
        <v>2.3456254827879299E-7</v>
      </c>
      <c r="AS20" s="217">
        <f t="shared" si="27"/>
        <v>2.4234788255198457E-7</v>
      </c>
      <c r="AT20" s="217">
        <f t="shared" si="27"/>
        <v>2.5013321682517621E-7</v>
      </c>
      <c r="AU20" s="217">
        <f t="shared" si="27"/>
        <v>2.5791855109836774E-7</v>
      </c>
      <c r="AV20" s="44">
        <v>3.6</v>
      </c>
    </row>
    <row r="21" spans="1:48" x14ac:dyDescent="0.2">
      <c r="A21" s="44">
        <v>3.7</v>
      </c>
      <c r="B21" s="44" t="s">
        <v>521</v>
      </c>
      <c r="F21" s="217">
        <f>G17</f>
        <v>2.4220286416186836E-3</v>
      </c>
      <c r="G21" s="217">
        <f>1/(-G11*G8+G17*G4*1000000)</f>
        <v>5.1609629156350663E-8</v>
      </c>
      <c r="I21" s="44" t="s">
        <v>483</v>
      </c>
      <c r="J21" s="44" t="s">
        <v>482</v>
      </c>
      <c r="K21" s="217">
        <f t="shared" ref="K21:AU21" si="28">$G$6*($F21*K$18+1)*($G21)</f>
        <v>-2.6917778132737013E-8</v>
      </c>
      <c r="L21" s="217">
        <f t="shared" si="28"/>
        <v>-1.7542778132737004E-8</v>
      </c>
      <c r="M21" s="217">
        <f t="shared" si="28"/>
        <v>-8.167778132737004E-9</v>
      </c>
      <c r="N21" s="217">
        <f t="shared" si="28"/>
        <v>1.2072218672629945E-9</v>
      </c>
      <c r="O21" s="217">
        <f t="shared" si="28"/>
        <v>1.0582221867262997E-8</v>
      </c>
      <c r="P21" s="217">
        <f t="shared" si="28"/>
        <v>1.9957221867262995E-8</v>
      </c>
      <c r="Q21" s="217">
        <f t="shared" si="28"/>
        <v>2.9332221867262994E-8</v>
      </c>
      <c r="R21" s="217">
        <f t="shared" si="28"/>
        <v>3.8707221867262997E-8</v>
      </c>
      <c r="S21" s="217">
        <f t="shared" si="28"/>
        <v>4.8082221867263E-8</v>
      </c>
      <c r="T21" s="217">
        <f t="shared" si="28"/>
        <v>5.7457221867263003E-8</v>
      </c>
      <c r="U21" s="217">
        <f t="shared" si="28"/>
        <v>6.6832221867262999E-8</v>
      </c>
      <c r="V21" s="217">
        <f t="shared" si="28"/>
        <v>7.6207221867263002E-8</v>
      </c>
      <c r="W21" s="217">
        <f t="shared" si="28"/>
        <v>8.5582221867262992E-8</v>
      </c>
      <c r="X21" s="217">
        <f t="shared" si="28"/>
        <v>9.4957221867263008E-8</v>
      </c>
      <c r="Y21" s="217">
        <f t="shared" si="28"/>
        <v>1.04332221867263E-7</v>
      </c>
      <c r="Z21" s="217">
        <f t="shared" si="28"/>
        <v>1.1370722186726301E-7</v>
      </c>
      <c r="AA21" s="217">
        <f t="shared" si="28"/>
        <v>1.23082221867263E-7</v>
      </c>
      <c r="AB21" s="217">
        <f t="shared" si="28"/>
        <v>1.3245722186726299E-7</v>
      </c>
      <c r="AC21" s="217">
        <f t="shared" si="28"/>
        <v>1.4183222186726301E-7</v>
      </c>
      <c r="AD21" s="217">
        <f t="shared" si="28"/>
        <v>1.51207221867263E-7</v>
      </c>
      <c r="AE21" s="217">
        <f t="shared" si="28"/>
        <v>1.6058222186726301E-7</v>
      </c>
      <c r="AF21" s="217">
        <f t="shared" si="28"/>
        <v>1.69957221867263E-7</v>
      </c>
      <c r="AG21" s="217">
        <f t="shared" si="28"/>
        <v>1.7933222186726299E-7</v>
      </c>
      <c r="AH21" s="217">
        <f t="shared" si="28"/>
        <v>1.8870722186726301E-7</v>
      </c>
      <c r="AI21" s="217">
        <f t="shared" si="28"/>
        <v>1.98082221867263E-7</v>
      </c>
      <c r="AJ21" s="217">
        <f t="shared" si="28"/>
        <v>2.0745722186726299E-7</v>
      </c>
      <c r="AK21" s="217">
        <f t="shared" si="28"/>
        <v>2.1683222186726298E-7</v>
      </c>
      <c r="AL21" s="217">
        <f t="shared" si="28"/>
        <v>2.2620722186726297E-7</v>
      </c>
      <c r="AM21" s="217">
        <f t="shared" si="28"/>
        <v>2.3558222186726296E-7</v>
      </c>
      <c r="AN21" s="217">
        <f t="shared" si="28"/>
        <v>2.4495722186726303E-7</v>
      </c>
      <c r="AO21" s="217">
        <f t="shared" si="28"/>
        <v>2.5433222186726299E-7</v>
      </c>
      <c r="AP21" s="217">
        <f t="shared" si="28"/>
        <v>2.6370722186726301E-7</v>
      </c>
      <c r="AQ21" s="217">
        <f t="shared" si="28"/>
        <v>2.7308222186726302E-7</v>
      </c>
      <c r="AR21" s="217">
        <f t="shared" si="28"/>
        <v>2.8245722186726299E-7</v>
      </c>
      <c r="AS21" s="217">
        <f t="shared" si="28"/>
        <v>2.91832221867263E-7</v>
      </c>
      <c r="AT21" s="217">
        <f t="shared" si="28"/>
        <v>3.0120722186726302E-7</v>
      </c>
      <c r="AU21" s="217">
        <f t="shared" si="28"/>
        <v>3.1058222186726298E-7</v>
      </c>
      <c r="AV21" s="44">
        <v>3.7</v>
      </c>
    </row>
    <row r="22" spans="1:48" x14ac:dyDescent="0.2">
      <c r="A22" s="44">
        <v>3.8</v>
      </c>
      <c r="B22" s="44" t="s">
        <v>522</v>
      </c>
      <c r="F22" s="217">
        <f>G16</f>
        <v>2.6057940924243501E-3</v>
      </c>
      <c r="G22" s="217">
        <f>1/(G11*G10+G16*G4*1000000)</f>
        <v>1.2038978254044867E-7</v>
      </c>
      <c r="I22" s="44" t="s">
        <v>483</v>
      </c>
      <c r="J22" s="44" t="s">
        <v>482</v>
      </c>
      <c r="K22" s="217">
        <f t="shared" ref="K22:AU22" si="29">$G$6*($F22*K$18-1)*($G22)</f>
        <v>-2.5499060357471699E-7</v>
      </c>
      <c r="L22" s="217">
        <f t="shared" si="29"/>
        <v>-2.3146227976480549E-7</v>
      </c>
      <c r="M22" s="217">
        <f t="shared" si="29"/>
        <v>-2.07933955954894E-7</v>
      </c>
      <c r="N22" s="217">
        <f t="shared" si="29"/>
        <v>-1.8440563214498248E-7</v>
      </c>
      <c r="O22" s="217">
        <f t="shared" si="29"/>
        <v>-1.6087730833507098E-7</v>
      </c>
      <c r="P22" s="217">
        <f t="shared" si="29"/>
        <v>-1.3734898452515949E-7</v>
      </c>
      <c r="Q22" s="217">
        <f t="shared" si="29"/>
        <v>-1.13820660715248E-7</v>
      </c>
      <c r="R22" s="217">
        <f t="shared" si="29"/>
        <v>-9.0292336905336501E-8</v>
      </c>
      <c r="S22" s="217">
        <f t="shared" si="29"/>
        <v>-6.6764013095425007E-8</v>
      </c>
      <c r="T22" s="217">
        <f t="shared" si="29"/>
        <v>-4.3235689285513506E-8</v>
      </c>
      <c r="U22" s="217">
        <f t="shared" si="29"/>
        <v>-1.9707365475602005E-8</v>
      </c>
      <c r="V22" s="217">
        <f t="shared" si="29"/>
        <v>3.8209583343094871E-9</v>
      </c>
      <c r="W22" s="217">
        <f t="shared" si="29"/>
        <v>2.7349282144220981E-8</v>
      </c>
      <c r="X22" s="217">
        <f t="shared" si="29"/>
        <v>5.0877605954132492E-8</v>
      </c>
      <c r="Y22" s="217">
        <f t="shared" si="29"/>
        <v>7.4405929764043986E-8</v>
      </c>
      <c r="Z22" s="217">
        <f t="shared" si="29"/>
        <v>9.7934253573955481E-8</v>
      </c>
      <c r="AA22" s="217">
        <f t="shared" si="29"/>
        <v>1.2146257738386698E-7</v>
      </c>
      <c r="AB22" s="217">
        <f t="shared" si="29"/>
        <v>1.4499090119377844E-7</v>
      </c>
      <c r="AC22" s="217">
        <f t="shared" si="29"/>
        <v>1.6851922500368999E-7</v>
      </c>
      <c r="AD22" s="217">
        <f t="shared" si="29"/>
        <v>1.9204754881360148E-7</v>
      </c>
      <c r="AE22" s="217">
        <f t="shared" si="29"/>
        <v>2.1557587262351298E-7</v>
      </c>
      <c r="AF22" s="217">
        <f t="shared" si="29"/>
        <v>2.3910419643342447E-7</v>
      </c>
      <c r="AG22" s="217">
        <f t="shared" si="29"/>
        <v>2.6263252024333594E-7</v>
      </c>
      <c r="AH22" s="217">
        <f t="shared" si="29"/>
        <v>2.8616084405324746E-7</v>
      </c>
      <c r="AI22" s="217">
        <f t="shared" si="29"/>
        <v>3.0968916786315904E-7</v>
      </c>
      <c r="AJ22" s="217">
        <f t="shared" si="29"/>
        <v>3.3321749167307045E-7</v>
      </c>
      <c r="AK22" s="217">
        <f t="shared" si="29"/>
        <v>3.5674581548298197E-7</v>
      </c>
      <c r="AL22" s="217">
        <f t="shared" si="29"/>
        <v>3.8027413929289339E-7</v>
      </c>
      <c r="AM22" s="217">
        <f t="shared" si="29"/>
        <v>4.0380246310280491E-7</v>
      </c>
      <c r="AN22" s="217">
        <f t="shared" si="29"/>
        <v>4.2733078691271648E-7</v>
      </c>
      <c r="AO22" s="217">
        <f t="shared" si="29"/>
        <v>4.5085911072262795E-7</v>
      </c>
      <c r="AP22" s="217">
        <f t="shared" si="29"/>
        <v>4.7438743453253947E-7</v>
      </c>
      <c r="AQ22" s="217">
        <f t="shared" si="29"/>
        <v>4.9791575834245099E-7</v>
      </c>
      <c r="AR22" s="217">
        <f t="shared" si="29"/>
        <v>5.2144408215236251E-7</v>
      </c>
      <c r="AS22" s="217">
        <f t="shared" si="29"/>
        <v>5.4497240596227403E-7</v>
      </c>
      <c r="AT22" s="217">
        <f t="shared" si="29"/>
        <v>5.6850072977218545E-7</v>
      </c>
      <c r="AU22" s="217">
        <f t="shared" si="29"/>
        <v>5.9202905358209697E-7</v>
      </c>
      <c r="AV22" s="44">
        <v>3.8</v>
      </c>
    </row>
    <row r="24" spans="1:48" x14ac:dyDescent="0.2">
      <c r="A24" s="67" t="s">
        <v>488</v>
      </c>
      <c r="B24" s="44" t="s">
        <v>486</v>
      </c>
      <c r="E24" s="67" t="s">
        <v>488</v>
      </c>
      <c r="F24" s="44">
        <f>1/G17</f>
        <v>412.87703325080525</v>
      </c>
      <c r="G24" s="44" t="s">
        <v>42</v>
      </c>
    </row>
    <row r="25" spans="1:48" x14ac:dyDescent="0.2">
      <c r="B25" s="44" t="s">
        <v>487</v>
      </c>
      <c r="F25" s="44">
        <f>1/G16</f>
        <v>383.76017618093186</v>
      </c>
      <c r="G25" s="44" t="s">
        <v>42</v>
      </c>
    </row>
    <row r="26" spans="1:48" x14ac:dyDescent="0.2">
      <c r="B26" s="44" t="s">
        <v>503</v>
      </c>
    </row>
    <row r="27" spans="1:48" x14ac:dyDescent="0.2">
      <c r="B27" s="44" t="s">
        <v>481</v>
      </c>
      <c r="F27" s="44">
        <v>1800</v>
      </c>
      <c r="G27" s="44" t="s">
        <v>42</v>
      </c>
    </row>
    <row r="28" spans="1:48" x14ac:dyDescent="0.2">
      <c r="B28" s="44" t="s">
        <v>524</v>
      </c>
      <c r="F28" s="44">
        <f>G13-150</f>
        <v>717.1052631578948</v>
      </c>
      <c r="G28" s="44" t="s">
        <v>42</v>
      </c>
    </row>
    <row r="29" spans="1:48" x14ac:dyDescent="0.2">
      <c r="B29" s="44" t="s">
        <v>504</v>
      </c>
    </row>
    <row r="30" spans="1:48" x14ac:dyDescent="0.2">
      <c r="B30" s="44" t="s">
        <v>489</v>
      </c>
      <c r="F30" s="217">
        <f>1/G21/(G6*(F21*F28+1))/1000</f>
        <v>9439.6759140097802</v>
      </c>
      <c r="G30" s="44" t="s">
        <v>25</v>
      </c>
    </row>
    <row r="31" spans="1:48" x14ac:dyDescent="0.2">
      <c r="B31" s="44" t="s">
        <v>502</v>
      </c>
      <c r="F31" s="44">
        <f>F30/0.9</f>
        <v>10488.5287933442</v>
      </c>
      <c r="G31" s="44" t="s">
        <v>25</v>
      </c>
    </row>
    <row r="32" spans="1:48" x14ac:dyDescent="0.2">
      <c r="B32" s="44" t="s">
        <v>490</v>
      </c>
      <c r="F32" s="44">
        <f>F31/('Girder Property'!I49/100)</f>
        <v>2.6852352261505885</v>
      </c>
      <c r="G32" s="44" t="s">
        <v>491</v>
      </c>
    </row>
    <row r="34" spans="2:8" x14ac:dyDescent="0.2">
      <c r="B34" s="44" t="s">
        <v>493</v>
      </c>
    </row>
    <row r="35" spans="2:8" x14ac:dyDescent="0.2">
      <c r="B35" s="44" t="s">
        <v>494</v>
      </c>
      <c r="D35" s="44" t="s">
        <v>495</v>
      </c>
    </row>
    <row r="37" spans="2:8" x14ac:dyDescent="0.2">
      <c r="B37" s="44" t="s">
        <v>496</v>
      </c>
      <c r="E37" s="44" t="s">
        <v>497</v>
      </c>
      <c r="G37" s="83">
        <f>'Girder Property'!I47/'Girder Property'!I24</f>
        <v>4.9621528504319121</v>
      </c>
    </row>
    <row r="38" spans="2:8" x14ac:dyDescent="0.2">
      <c r="B38" s="44" t="s">
        <v>505</v>
      </c>
      <c r="G38" s="287">
        <f>F30/F32</f>
        <v>3515.4000000000005</v>
      </c>
      <c r="H38" s="44" t="s">
        <v>25</v>
      </c>
    </row>
    <row r="39" spans="2:8" x14ac:dyDescent="0.2">
      <c r="B39" s="44" t="s">
        <v>501</v>
      </c>
      <c r="G39" s="217">
        <f>-G38/G11-F30*F28/G15</f>
        <v>-2.6198284556916022E-2</v>
      </c>
      <c r="H39" s="44" t="s">
        <v>165</v>
      </c>
    </row>
    <row r="40" spans="2:8" x14ac:dyDescent="0.2">
      <c r="E40" s="44" t="s">
        <v>506</v>
      </c>
      <c r="G40" s="217">
        <f>G37*G39</f>
        <v>-0.12999989239052717</v>
      </c>
      <c r="H40" s="44" t="s">
        <v>165</v>
      </c>
    </row>
    <row r="41" spans="2:8" x14ac:dyDescent="0.2">
      <c r="B41" s="44" t="s">
        <v>507</v>
      </c>
      <c r="G41" s="217">
        <f>ABS(G40*'Girder Property'!I48*100/'Girder Property'!I49)*10000</f>
        <v>9.9846307519606121</v>
      </c>
    </row>
    <row r="42" spans="2:8" x14ac:dyDescent="0.2">
      <c r="B42" s="44" t="s">
        <v>498</v>
      </c>
    </row>
    <row r="43" spans="2:8" x14ac:dyDescent="0.2">
      <c r="B43" s="44" t="s">
        <v>499</v>
      </c>
      <c r="E43" s="44" t="s">
        <v>500</v>
      </c>
      <c r="G43" s="83">
        <f>'Girder Property'!I47</f>
        <v>200000</v>
      </c>
    </row>
  </sheetData>
  <pageMargins left="0.7" right="0.7" top="0.75" bottom="0.75" header="0.3" footer="0.3"/>
  <pageSetup paperSize="9" orientation="portrait"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C00000"/>
  </sheetPr>
  <dimension ref="A2:M54"/>
  <sheetViews>
    <sheetView topLeftCell="A37" workbookViewId="0">
      <selection activeCell="M16" sqref="M16"/>
    </sheetView>
  </sheetViews>
  <sheetFormatPr defaultRowHeight="10.65" x14ac:dyDescent="0.2"/>
  <cols>
    <col min="1" max="5" width="9.109375" style="45"/>
    <col min="6" max="6" width="10.109375" style="45" bestFit="1" customWidth="1"/>
    <col min="7" max="261" width="9.109375" style="45"/>
    <col min="262" max="262" width="10.109375" style="45" bestFit="1" customWidth="1"/>
    <col min="263" max="517" width="9.109375" style="45"/>
    <col min="518" max="518" width="10.109375" style="45" bestFit="1" customWidth="1"/>
    <col min="519" max="773" width="9.109375" style="45"/>
    <col min="774" max="774" width="10.109375" style="45" bestFit="1" customWidth="1"/>
    <col min="775" max="1029" width="9.109375" style="45"/>
    <col min="1030" max="1030" width="10.109375" style="45" bestFit="1" customWidth="1"/>
    <col min="1031" max="1285" width="9.109375" style="45"/>
    <col min="1286" max="1286" width="10.109375" style="45" bestFit="1" customWidth="1"/>
    <col min="1287" max="1541" width="9.109375" style="45"/>
    <col min="1542" max="1542" width="10.109375" style="45" bestFit="1" customWidth="1"/>
    <col min="1543" max="1797" width="9.109375" style="45"/>
    <col min="1798" max="1798" width="10.109375" style="45" bestFit="1" customWidth="1"/>
    <col min="1799" max="2053" width="9.109375" style="45"/>
    <col min="2054" max="2054" width="10.109375" style="45" bestFit="1" customWidth="1"/>
    <col min="2055" max="2309" width="9.109375" style="45"/>
    <col min="2310" max="2310" width="10.109375" style="45" bestFit="1" customWidth="1"/>
    <col min="2311" max="2565" width="9.109375" style="45"/>
    <col min="2566" max="2566" width="10.109375" style="45" bestFit="1" customWidth="1"/>
    <col min="2567" max="2821" width="9.109375" style="45"/>
    <col min="2822" max="2822" width="10.109375" style="45" bestFit="1" customWidth="1"/>
    <col min="2823" max="3077" width="9.109375" style="45"/>
    <col min="3078" max="3078" width="10.109375" style="45" bestFit="1" customWidth="1"/>
    <col min="3079" max="3333" width="9.109375" style="45"/>
    <col min="3334" max="3334" width="10.109375" style="45" bestFit="1" customWidth="1"/>
    <col min="3335" max="3589" width="9.109375" style="45"/>
    <col min="3590" max="3590" width="10.109375" style="45" bestFit="1" customWidth="1"/>
    <col min="3591" max="3845" width="9.109375" style="45"/>
    <col min="3846" max="3846" width="10.109375" style="45" bestFit="1" customWidth="1"/>
    <col min="3847" max="4101" width="9.109375" style="45"/>
    <col min="4102" max="4102" width="10.109375" style="45" bestFit="1" customWidth="1"/>
    <col min="4103" max="4357" width="9.109375" style="45"/>
    <col min="4358" max="4358" width="10.109375" style="45" bestFit="1" customWidth="1"/>
    <col min="4359" max="4613" width="9.109375" style="45"/>
    <col min="4614" max="4614" width="10.109375" style="45" bestFit="1" customWidth="1"/>
    <col min="4615" max="4869" width="9.109375" style="45"/>
    <col min="4870" max="4870" width="10.109375" style="45" bestFit="1" customWidth="1"/>
    <col min="4871" max="5125" width="9.109375" style="45"/>
    <col min="5126" max="5126" width="10.109375" style="45" bestFit="1" customWidth="1"/>
    <col min="5127" max="5381" width="9.109375" style="45"/>
    <col min="5382" max="5382" width="10.109375" style="45" bestFit="1" customWidth="1"/>
    <col min="5383" max="5637" width="9.109375" style="45"/>
    <col min="5638" max="5638" width="10.109375" style="45" bestFit="1" customWidth="1"/>
    <col min="5639" max="5893" width="9.109375" style="45"/>
    <col min="5894" max="5894" width="10.109375" style="45" bestFit="1" customWidth="1"/>
    <col min="5895" max="6149" width="9.109375" style="45"/>
    <col min="6150" max="6150" width="10.109375" style="45" bestFit="1" customWidth="1"/>
    <col min="6151" max="6405" width="9.109375" style="45"/>
    <col min="6406" max="6406" width="10.109375" style="45" bestFit="1" customWidth="1"/>
    <col min="6407" max="6661" width="9.109375" style="45"/>
    <col min="6662" max="6662" width="10.109375" style="45" bestFit="1" customWidth="1"/>
    <col min="6663" max="6917" width="9.109375" style="45"/>
    <col min="6918" max="6918" width="10.109375" style="45" bestFit="1" customWidth="1"/>
    <col min="6919" max="7173" width="9.109375" style="45"/>
    <col min="7174" max="7174" width="10.109375" style="45" bestFit="1" customWidth="1"/>
    <col min="7175" max="7429" width="9.109375" style="45"/>
    <col min="7430" max="7430" width="10.109375" style="45" bestFit="1" customWidth="1"/>
    <col min="7431" max="7685" width="9.109375" style="45"/>
    <col min="7686" max="7686" width="10.109375" style="45" bestFit="1" customWidth="1"/>
    <col min="7687" max="7941" width="9.109375" style="45"/>
    <col min="7942" max="7942" width="10.109375" style="45" bestFit="1" customWidth="1"/>
    <col min="7943" max="8197" width="9.109375" style="45"/>
    <col min="8198" max="8198" width="10.109375" style="45" bestFit="1" customWidth="1"/>
    <col min="8199" max="8453" width="9.109375" style="45"/>
    <col min="8454" max="8454" width="10.109375" style="45" bestFit="1" customWidth="1"/>
    <col min="8455" max="8709" width="9.109375" style="45"/>
    <col min="8710" max="8710" width="10.109375" style="45" bestFit="1" customWidth="1"/>
    <col min="8711" max="8965" width="9.109375" style="45"/>
    <col min="8966" max="8966" width="10.109375" style="45" bestFit="1" customWidth="1"/>
    <col min="8967" max="9221" width="9.109375" style="45"/>
    <col min="9222" max="9222" width="10.109375" style="45" bestFit="1" customWidth="1"/>
    <col min="9223" max="9477" width="9.109375" style="45"/>
    <col min="9478" max="9478" width="10.109375" style="45" bestFit="1" customWidth="1"/>
    <col min="9479" max="9733" width="9.109375" style="45"/>
    <col min="9734" max="9734" width="10.109375" style="45" bestFit="1" customWidth="1"/>
    <col min="9735" max="9989" width="9.109375" style="45"/>
    <col min="9990" max="9990" width="10.109375" style="45" bestFit="1" customWidth="1"/>
    <col min="9991" max="10245" width="9.109375" style="45"/>
    <col min="10246" max="10246" width="10.109375" style="45" bestFit="1" customWidth="1"/>
    <col min="10247" max="10501" width="9.109375" style="45"/>
    <col min="10502" max="10502" width="10.109375" style="45" bestFit="1" customWidth="1"/>
    <col min="10503" max="10757" width="9.109375" style="45"/>
    <col min="10758" max="10758" width="10.109375" style="45" bestFit="1" customWidth="1"/>
    <col min="10759" max="11013" width="9.109375" style="45"/>
    <col min="11014" max="11014" width="10.109375" style="45" bestFit="1" customWidth="1"/>
    <col min="11015" max="11269" width="9.109375" style="45"/>
    <col min="11270" max="11270" width="10.109375" style="45" bestFit="1" customWidth="1"/>
    <col min="11271" max="11525" width="9.109375" style="45"/>
    <col min="11526" max="11526" width="10.109375" style="45" bestFit="1" customWidth="1"/>
    <col min="11527" max="11781" width="9.109375" style="45"/>
    <col min="11782" max="11782" width="10.109375" style="45" bestFit="1" customWidth="1"/>
    <col min="11783" max="12037" width="9.109375" style="45"/>
    <col min="12038" max="12038" width="10.109375" style="45" bestFit="1" customWidth="1"/>
    <col min="12039" max="12293" width="9.109375" style="45"/>
    <col min="12294" max="12294" width="10.109375" style="45" bestFit="1" customWidth="1"/>
    <col min="12295" max="12549" width="9.109375" style="45"/>
    <col min="12550" max="12550" width="10.109375" style="45" bestFit="1" customWidth="1"/>
    <col min="12551" max="12805" width="9.109375" style="45"/>
    <col min="12806" max="12806" width="10.109375" style="45" bestFit="1" customWidth="1"/>
    <col min="12807" max="13061" width="9.109375" style="45"/>
    <col min="13062" max="13062" width="10.109375" style="45" bestFit="1" customWidth="1"/>
    <col min="13063" max="13317" width="9.109375" style="45"/>
    <col min="13318" max="13318" width="10.109375" style="45" bestFit="1" customWidth="1"/>
    <col min="13319" max="13573" width="9.109375" style="45"/>
    <col min="13574" max="13574" width="10.109375" style="45" bestFit="1" customWidth="1"/>
    <col min="13575" max="13829" width="9.109375" style="45"/>
    <col min="13830" max="13830" width="10.109375" style="45" bestFit="1" customWidth="1"/>
    <col min="13831" max="14085" width="9.109375" style="45"/>
    <col min="14086" max="14086" width="10.109375" style="45" bestFit="1" customWidth="1"/>
    <col min="14087" max="14341" width="9.109375" style="45"/>
    <col min="14342" max="14342" width="10.109375" style="45" bestFit="1" customWidth="1"/>
    <col min="14343" max="14597" width="9.109375" style="45"/>
    <col min="14598" max="14598" width="10.109375" style="45" bestFit="1" customWidth="1"/>
    <col min="14599" max="14853" width="9.109375" style="45"/>
    <col min="14854" max="14854" width="10.109375" style="45" bestFit="1" customWidth="1"/>
    <col min="14855" max="15109" width="9.109375" style="45"/>
    <col min="15110" max="15110" width="10.109375" style="45" bestFit="1" customWidth="1"/>
    <col min="15111" max="15365" width="9.109375" style="45"/>
    <col min="15366" max="15366" width="10.109375" style="45" bestFit="1" customWidth="1"/>
    <col min="15367" max="15621" width="9.109375" style="45"/>
    <col min="15622" max="15622" width="10.109375" style="45" bestFit="1" customWidth="1"/>
    <col min="15623" max="15877" width="9.109375" style="45"/>
    <col min="15878" max="15878" width="10.109375" style="45" bestFit="1" customWidth="1"/>
    <col min="15879" max="16133" width="9.109375" style="45"/>
    <col min="16134" max="16134" width="10.109375" style="45" bestFit="1" customWidth="1"/>
    <col min="16135" max="16384" width="9.109375" style="45"/>
  </cols>
  <sheetData>
    <row r="2" spans="1:11" x14ac:dyDescent="0.2">
      <c r="A2" s="288" t="s">
        <v>556</v>
      </c>
    </row>
    <row r="3" spans="1:11" x14ac:dyDescent="0.2">
      <c r="A3" s="289"/>
      <c r="B3" s="290"/>
    </row>
    <row r="4" spans="1:11" x14ac:dyDescent="0.2">
      <c r="B4" s="291"/>
    </row>
    <row r="5" spans="1:11" x14ac:dyDescent="0.2">
      <c r="A5" s="292" t="s">
        <v>557</v>
      </c>
    </row>
    <row r="6" spans="1:11" x14ac:dyDescent="0.2">
      <c r="B6" s="291"/>
    </row>
    <row r="7" spans="1:11" x14ac:dyDescent="0.2">
      <c r="B7" s="293" t="s">
        <v>558</v>
      </c>
      <c r="D7" s="289" t="s">
        <v>24</v>
      </c>
      <c r="F7" s="294">
        <f>tspan</f>
        <v>30.6</v>
      </c>
      <c r="G7" s="293" t="s">
        <v>559</v>
      </c>
    </row>
    <row r="8" spans="1:11" ht="12.55" x14ac:dyDescent="0.2">
      <c r="B8" s="293" t="s">
        <v>560</v>
      </c>
      <c r="D8" s="289" t="s">
        <v>24</v>
      </c>
      <c r="F8" s="294">
        <f>fck</f>
        <v>50</v>
      </c>
      <c r="G8" s="293" t="s">
        <v>937</v>
      </c>
    </row>
    <row r="9" spans="1:11" ht="13.15" x14ac:dyDescent="0.25">
      <c r="B9" s="293" t="s">
        <v>938</v>
      </c>
      <c r="D9" s="289" t="s">
        <v>24</v>
      </c>
      <c r="F9" s="295">
        <v>300</v>
      </c>
      <c r="G9" s="293" t="s">
        <v>939</v>
      </c>
    </row>
    <row r="10" spans="1:11" ht="13.15" x14ac:dyDescent="0.25">
      <c r="B10" s="293" t="s">
        <v>940</v>
      </c>
      <c r="D10" s="289" t="s">
        <v>24</v>
      </c>
      <c r="F10" s="295">
        <v>4</v>
      </c>
      <c r="G10" s="293" t="s">
        <v>941</v>
      </c>
      <c r="K10" s="293"/>
    </row>
    <row r="11" spans="1:11" ht="12.55" x14ac:dyDescent="0.2">
      <c r="B11" s="293" t="s">
        <v>561</v>
      </c>
      <c r="D11" s="289" t="s">
        <v>24</v>
      </c>
      <c r="F11" s="296">
        <v>600</v>
      </c>
      <c r="G11" s="293" t="s">
        <v>942</v>
      </c>
      <c r="H11" s="45" t="s">
        <v>562</v>
      </c>
    </row>
    <row r="12" spans="1:11" ht="12.55" x14ac:dyDescent="0.2">
      <c r="B12" s="293" t="s">
        <v>11</v>
      </c>
      <c r="D12" s="289" t="s">
        <v>24</v>
      </c>
      <c r="F12" s="295">
        <v>1.17</v>
      </c>
      <c r="G12" s="293" t="s">
        <v>943</v>
      </c>
      <c r="J12" s="297"/>
      <c r="K12" s="297"/>
    </row>
    <row r="13" spans="1:11" ht="12.55" x14ac:dyDescent="0.2">
      <c r="B13" s="293" t="s">
        <v>563</v>
      </c>
      <c r="D13" s="289" t="s">
        <v>24</v>
      </c>
      <c r="E13" s="298" t="s">
        <v>564</v>
      </c>
      <c r="F13" s="296">
        <v>40</v>
      </c>
      <c r="G13" s="299" t="s">
        <v>944</v>
      </c>
    </row>
    <row r="14" spans="1:11" ht="12.55" x14ac:dyDescent="0.2">
      <c r="B14" s="293"/>
      <c r="D14" s="289"/>
      <c r="E14" s="298"/>
      <c r="F14" s="296"/>
      <c r="G14" s="299"/>
      <c r="K14" s="297"/>
    </row>
    <row r="15" spans="1:11" ht="11.9" x14ac:dyDescent="0.25">
      <c r="B15" s="293" t="s">
        <v>945</v>
      </c>
      <c r="C15" s="293" t="s">
        <v>946</v>
      </c>
      <c r="D15" s="289" t="s">
        <v>24</v>
      </c>
      <c r="F15" s="300">
        <f>F9*F7/(1000)</f>
        <v>9.18</v>
      </c>
      <c r="G15" s="293" t="s">
        <v>565</v>
      </c>
      <c r="J15" s="297"/>
    </row>
    <row r="16" spans="1:11" ht="11.9" x14ac:dyDescent="0.25">
      <c r="B16" s="293" t="s">
        <v>947</v>
      </c>
      <c r="C16" s="293" t="s">
        <v>948</v>
      </c>
      <c r="D16" s="289" t="s">
        <v>24</v>
      </c>
      <c r="F16" s="300">
        <f>F11*F10*F7/(10^4)</f>
        <v>7.3440000000000003</v>
      </c>
      <c r="G16" s="293" t="s">
        <v>565</v>
      </c>
      <c r="J16" s="297"/>
    </row>
    <row r="17" spans="1:12" x14ac:dyDescent="0.2">
      <c r="D17" s="289"/>
      <c r="F17" s="301" t="s">
        <v>566</v>
      </c>
    </row>
    <row r="18" spans="1:12" x14ac:dyDescent="0.2">
      <c r="D18" s="289"/>
      <c r="F18" s="300">
        <f>SUM(F15:F16)</f>
        <v>16.524000000000001</v>
      </c>
      <c r="G18" s="293" t="s">
        <v>565</v>
      </c>
    </row>
    <row r="19" spans="1:12" ht="11.9" x14ac:dyDescent="0.25">
      <c r="B19" s="293" t="s">
        <v>949</v>
      </c>
      <c r="C19" s="293" t="s">
        <v>705</v>
      </c>
      <c r="D19" s="289" t="s">
        <v>24</v>
      </c>
      <c r="E19" s="298" t="s">
        <v>564</v>
      </c>
      <c r="F19" s="300">
        <f>F12*F13*F7/(10^2)</f>
        <v>14.320799999999998</v>
      </c>
      <c r="G19" s="293" t="s">
        <v>565</v>
      </c>
    </row>
    <row r="20" spans="1:12" x14ac:dyDescent="0.2">
      <c r="F20" s="301" t="s">
        <v>566</v>
      </c>
    </row>
    <row r="21" spans="1:12" x14ac:dyDescent="0.2">
      <c r="E21" s="302" t="s">
        <v>567</v>
      </c>
      <c r="F21" s="300">
        <f>F18+F19</f>
        <v>30.844799999999999</v>
      </c>
      <c r="G21" s="293" t="s">
        <v>565</v>
      </c>
    </row>
    <row r="22" spans="1:12" x14ac:dyDescent="0.2">
      <c r="E22" s="302" t="s">
        <v>488</v>
      </c>
      <c r="F22" s="303">
        <f>F19</f>
        <v>14.320799999999998</v>
      </c>
      <c r="G22" s="293" t="s">
        <v>565</v>
      </c>
      <c r="L22" s="304"/>
    </row>
    <row r="23" spans="1:12" x14ac:dyDescent="0.2">
      <c r="F23" s="301" t="s">
        <v>566</v>
      </c>
      <c r="G23" s="293"/>
    </row>
    <row r="24" spans="1:12" x14ac:dyDescent="0.2">
      <c r="B24" s="291" t="s">
        <v>568</v>
      </c>
      <c r="F24" s="305"/>
    </row>
    <row r="26" spans="1:12" x14ac:dyDescent="0.2">
      <c r="A26" s="306" t="s">
        <v>569</v>
      </c>
    </row>
    <row r="27" spans="1:12" ht="13.15" x14ac:dyDescent="0.25">
      <c r="A27" s="306" t="s">
        <v>570</v>
      </c>
      <c r="C27" s="307">
        <f>ROUND(F21/5,0)*5</f>
        <v>30</v>
      </c>
      <c r="D27" s="306" t="s">
        <v>42</v>
      </c>
      <c r="E27" s="306" t="s">
        <v>571</v>
      </c>
      <c r="F27" s="306"/>
      <c r="G27" s="306"/>
      <c r="H27" s="306"/>
      <c r="I27" s="307">
        <f>ROUND(F22/10,0)*10</f>
        <v>10</v>
      </c>
      <c r="J27" s="308" t="s">
        <v>572</v>
      </c>
    </row>
    <row r="28" spans="1:12" x14ac:dyDescent="0.2">
      <c r="I28" s="309"/>
    </row>
    <row r="29" spans="1:12" x14ac:dyDescent="0.2">
      <c r="A29" s="288" t="s">
        <v>573</v>
      </c>
    </row>
    <row r="31" spans="1:12" x14ac:dyDescent="0.2">
      <c r="A31" s="45" t="s">
        <v>574</v>
      </c>
    </row>
    <row r="32" spans="1:12" x14ac:dyDescent="0.2">
      <c r="A32" s="306" t="s">
        <v>575</v>
      </c>
    </row>
    <row r="33" spans="1:10" ht="13.15" x14ac:dyDescent="0.25">
      <c r="A33" s="306" t="s">
        <v>570</v>
      </c>
      <c r="C33" s="307">
        <f>C27*2</f>
        <v>60</v>
      </c>
      <c r="D33" s="306" t="s">
        <v>42</v>
      </c>
      <c r="E33" s="306" t="s">
        <v>571</v>
      </c>
      <c r="F33" s="306"/>
      <c r="G33" s="306"/>
      <c r="H33" s="306"/>
      <c r="I33" s="306">
        <f>I27*2</f>
        <v>20</v>
      </c>
      <c r="J33" s="45" t="s">
        <v>572</v>
      </c>
    </row>
    <row r="35" spans="1:10" x14ac:dyDescent="0.2">
      <c r="A35" s="310" t="s">
        <v>576</v>
      </c>
    </row>
    <row r="38" spans="1:10" x14ac:dyDescent="0.2">
      <c r="B38" s="45" t="s">
        <v>577</v>
      </c>
      <c r="D38" s="45" t="s">
        <v>24</v>
      </c>
      <c r="E38" s="45" t="s">
        <v>578</v>
      </c>
    </row>
    <row r="39" spans="1:10" x14ac:dyDescent="0.2">
      <c r="B39" s="45" t="s">
        <v>579</v>
      </c>
      <c r="D39" s="45" t="s">
        <v>24</v>
      </c>
      <c r="E39" s="45" t="s">
        <v>706</v>
      </c>
    </row>
    <row r="40" spans="1:10" ht="11.9" x14ac:dyDescent="0.25">
      <c r="B40" s="45" t="s">
        <v>950</v>
      </c>
      <c r="D40" s="45" t="s">
        <v>24</v>
      </c>
      <c r="E40" s="45" t="s">
        <v>580</v>
      </c>
    </row>
    <row r="41" spans="1:10" ht="11.9" x14ac:dyDescent="0.25">
      <c r="B41" s="45" t="s">
        <v>951</v>
      </c>
      <c r="D41" s="45" t="s">
        <v>24</v>
      </c>
      <c r="E41" s="45" t="s">
        <v>581</v>
      </c>
    </row>
    <row r="42" spans="1:10" x14ac:dyDescent="0.2">
      <c r="B42" s="45" t="s">
        <v>582</v>
      </c>
      <c r="D42" s="45" t="s">
        <v>24</v>
      </c>
      <c r="E42" s="45" t="s">
        <v>583</v>
      </c>
    </row>
    <row r="43" spans="1:10" x14ac:dyDescent="0.2">
      <c r="B43" s="45" t="s">
        <v>584</v>
      </c>
      <c r="D43" s="45" t="s">
        <v>24</v>
      </c>
      <c r="E43" s="45" t="s">
        <v>585</v>
      </c>
    </row>
    <row r="44" spans="1:10" x14ac:dyDescent="0.2">
      <c r="B44" s="45" t="s">
        <v>586</v>
      </c>
      <c r="D44" s="45" t="s">
        <v>24</v>
      </c>
      <c r="E44" s="45" t="s">
        <v>587</v>
      </c>
    </row>
    <row r="45" spans="1:10" ht="11.9" x14ac:dyDescent="0.25">
      <c r="B45" s="45" t="s">
        <v>952</v>
      </c>
      <c r="D45" s="45" t="s">
        <v>24</v>
      </c>
      <c r="E45" s="45" t="s">
        <v>588</v>
      </c>
    </row>
    <row r="46" spans="1:10" ht="11.9" x14ac:dyDescent="0.25">
      <c r="B46" s="45" t="s">
        <v>953</v>
      </c>
      <c r="D46" s="45" t="s">
        <v>24</v>
      </c>
      <c r="E46" s="45" t="s">
        <v>589</v>
      </c>
    </row>
    <row r="47" spans="1:10" ht="11.9" x14ac:dyDescent="0.25">
      <c r="B47" s="45" t="s">
        <v>954</v>
      </c>
      <c r="D47" s="45" t="s">
        <v>24</v>
      </c>
      <c r="E47" s="45" t="s">
        <v>590</v>
      </c>
    </row>
    <row r="48" spans="1:10" ht="11.9" x14ac:dyDescent="0.25">
      <c r="B48" s="293" t="s">
        <v>955</v>
      </c>
      <c r="D48" s="45" t="s">
        <v>24</v>
      </c>
      <c r="E48" s="45" t="s">
        <v>591</v>
      </c>
    </row>
    <row r="52" spans="7:13" x14ac:dyDescent="0.2">
      <c r="G52" s="311"/>
      <c r="H52" s="312"/>
      <c r="I52" s="312"/>
      <c r="J52" s="312"/>
      <c r="K52" s="312"/>
      <c r="L52" s="312"/>
      <c r="M52" s="312"/>
    </row>
    <row r="53" spans="7:13" x14ac:dyDescent="0.2">
      <c r="G53" s="313"/>
      <c r="H53" s="312"/>
      <c r="I53" s="312"/>
      <c r="J53" s="312"/>
      <c r="K53" s="312"/>
      <c r="L53" s="312"/>
      <c r="M53" s="312"/>
    </row>
    <row r="54" spans="7:13" x14ac:dyDescent="0.2">
      <c r="G54" s="314"/>
      <c r="H54" s="312"/>
      <c r="I54" s="312"/>
      <c r="J54" s="312"/>
      <c r="K54" s="315"/>
      <c r="L54" s="316"/>
      <c r="M54" s="312"/>
    </row>
  </sheetData>
  <pageMargins left="0.75" right="0.75" top="1" bottom="1" header="0.5" footer="0.5"/>
  <pageSetup paperSize="9" scale="95"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11</vt:i4>
      </vt:variant>
      <vt:variant>
        <vt:lpstr>Dialogs</vt:lpstr>
      </vt:variant>
      <vt:variant>
        <vt:i4>1</vt:i4>
      </vt:variant>
      <vt:variant>
        <vt:lpstr>Named Ranges</vt:lpstr>
      </vt:variant>
      <vt:variant>
        <vt:i4>78</vt:i4>
      </vt:variant>
    </vt:vector>
  </HeadingPairs>
  <TitlesOfParts>
    <vt:vector size="90" baseType="lpstr">
      <vt:lpstr>notes</vt:lpstr>
      <vt:lpstr>Girder Property</vt:lpstr>
      <vt:lpstr>wheel</vt:lpstr>
      <vt:lpstr>Ptrestress loss</vt:lpstr>
      <vt:lpstr>Desig of slab</vt:lpstr>
      <vt:lpstr>Design Girder</vt:lpstr>
      <vt:lpstr>End Block</vt:lpstr>
      <vt:lpstr>BM</vt:lpstr>
      <vt:lpstr>Cable</vt:lpstr>
      <vt:lpstr>Sheet2</vt:lpstr>
      <vt:lpstr>expansion joint</vt:lpstr>
      <vt:lpstr>dlginstruct</vt:lpstr>
      <vt:lpstr>ac</vt:lpstr>
      <vt:lpstr>aeg</vt:lpstr>
      <vt:lpstr>Ag</vt:lpstr>
      <vt:lpstr>alfp</vt:lpstr>
      <vt:lpstr>Aps</vt:lpstr>
      <vt:lpstr>Asc</vt:lpstr>
      <vt:lpstr>bbf</vt:lpstr>
      <vt:lpstr>BM</vt:lpstr>
      <vt:lpstr>btf</vt:lpstr>
      <vt:lpstr>bw</vt:lpstr>
      <vt:lpstr>Cable</vt:lpstr>
      <vt:lpstr>cge</vt:lpstr>
      <vt:lpstr>co</vt:lpstr>
      <vt:lpstr>cr</vt:lpstr>
      <vt:lpstr>D</vt:lpstr>
      <vt:lpstr>ds</vt:lpstr>
      <vt:lpstr>ductdia</vt:lpstr>
      <vt:lpstr>dwt</vt:lpstr>
      <vt:lpstr>Ec</vt:lpstr>
      <vt:lpstr>Efprestress</vt:lpstr>
      <vt:lpstr>Eps</vt:lpstr>
      <vt:lpstr>esh</vt:lpstr>
      <vt:lpstr>fck</vt:lpstr>
      <vt:lpstr>fcp</vt:lpstr>
      <vt:lpstr>first</vt:lpstr>
      <vt:lpstr>fp</vt:lpstr>
      <vt:lpstr>ft</vt:lpstr>
      <vt:lpstr>fy</vt:lpstr>
      <vt:lpstr>fyv</vt:lpstr>
      <vt:lpstr>gd</vt:lpstr>
      <vt:lpstr>girder</vt:lpstr>
      <vt:lpstr>gpsc</vt:lpstr>
      <vt:lpstr>ic</vt:lpstr>
      <vt:lpstr>ig</vt:lpstr>
      <vt:lpstr>ige</vt:lpstr>
      <vt:lpstr>K</vt:lpstr>
      <vt:lpstr>loadstress</vt:lpstr>
      <vt:lpstr>ms</vt:lpstr>
      <vt:lpstr>mu</vt:lpstr>
      <vt:lpstr>no</vt:lpstr>
      <vt:lpstr>Ph</vt:lpstr>
      <vt:lpstr>Pj</vt:lpstr>
      <vt:lpstr>BM!Print_Area</vt:lpstr>
      <vt:lpstr>Cable!Print_Area</vt:lpstr>
      <vt:lpstr>'Design Girder'!Print_Area</vt:lpstr>
      <vt:lpstr>'End Block'!Print_Area</vt:lpstr>
      <vt:lpstr>'expansion joint'!Print_Area</vt:lpstr>
      <vt:lpstr>'Girder Property'!Print_Area</vt:lpstr>
      <vt:lpstr>'Ptrestress loss'!Print_Area</vt:lpstr>
      <vt:lpstr>wheel!Print_Area</vt:lpstr>
      <vt:lpstr>Pv</vt:lpstr>
      <vt:lpstr>radian</vt:lpstr>
      <vt:lpstr>Re</vt:lpstr>
      <vt:lpstr>s</vt:lpstr>
      <vt:lpstr>scg</vt:lpstr>
      <vt:lpstr>seconf</vt:lpstr>
      <vt:lpstr>shear</vt:lpstr>
      <vt:lpstr>shearein</vt:lpstr>
      <vt:lpstr>sidl</vt:lpstr>
      <vt:lpstr>slab</vt:lpstr>
      <vt:lpstr>slip</vt:lpstr>
      <vt:lpstr>spane</vt:lpstr>
      <vt:lpstr>t</vt:lpstr>
      <vt:lpstr>tspan</vt:lpstr>
      <vt:lpstr>Unt</vt:lpstr>
      <vt:lpstr>vehicle</vt:lpstr>
      <vt:lpstr>wearing_coat</vt:lpstr>
      <vt:lpstr>ygb</vt:lpstr>
      <vt:lpstr>zbc</vt:lpstr>
      <vt:lpstr>zbe</vt:lpstr>
      <vt:lpstr>zcb</vt:lpstr>
      <vt:lpstr>zcbe</vt:lpstr>
      <vt:lpstr>zct</vt:lpstr>
      <vt:lpstr>zcte</vt:lpstr>
      <vt:lpstr>zgb</vt:lpstr>
      <vt:lpstr>zgt</vt:lpstr>
      <vt:lpstr>ztc</vt:lpstr>
      <vt:lpstr>zte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DChilds</dc:creator>
  <cp:lastModifiedBy>Prafulla Malla</cp:lastModifiedBy>
  <cp:lastPrinted>2013-04-04T09:21:24Z</cp:lastPrinted>
  <dcterms:created xsi:type="dcterms:W3CDTF">1997-04-23T16:35:45Z</dcterms:created>
  <dcterms:modified xsi:type="dcterms:W3CDTF">2021-02-03T10:23:11Z</dcterms:modified>
</cp:coreProperties>
</file>